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AIT\RP2\"/>
    </mc:Choice>
  </mc:AlternateContent>
  <bookViews>
    <workbookView xWindow="0" yWindow="0" windowWidth="23040" windowHeight="7920" firstSheet="1" activeTab="2"/>
  </bookViews>
  <sheets>
    <sheet name="A" sheetId="16" state="hidden" r:id="rId1"/>
    <sheet name="B" sheetId="21" r:id="rId2"/>
    <sheet name="C" sheetId="22" r:id="rId3"/>
    <sheet name="Счетчики Opr" sheetId="5" r:id="rId4"/>
    <sheet name="Лист1" sheetId="6" r:id="rId5"/>
    <sheet name="A1A3" sheetId="7" r:id="rId6"/>
    <sheet name="Q1" sheetId="10" state="hidden" r:id="rId7"/>
    <sheet name="Q2" sheetId="11" state="hidden" r:id="rId8"/>
    <sheet name="Q3" sheetId="12" state="hidden" r:id="rId9"/>
    <sheet name="A_Diag" sheetId="9" state="hidden" r:id="rId10"/>
    <sheet name="TabGlobalER" sheetId="1" r:id="rId11"/>
    <sheet name="TabGlobalER (2)" sheetId="20" r:id="rId12"/>
    <sheet name="TabGlobalLOS" sheetId="17" r:id="rId13"/>
    <sheet name="TabGlobalER2" sheetId="18" r:id="rId14"/>
    <sheet name="TabGlobalER3" sheetId="19" r:id="rId15"/>
    <sheet name="Качество Std" sheetId="2" r:id="rId16"/>
    <sheet name="Q1_Diag" sheetId="13" state="hidden" r:id="rId17"/>
    <sheet name="Q2_Diag" sheetId="14" state="hidden" r:id="rId18"/>
    <sheet name="Q3_Diag" sheetId="15" state="hidden" r:id="rId19"/>
    <sheet name="Качество Чарты" sheetId="4" r:id="rId20"/>
  </sheets>
  <functionGroups builtInGroupCount="18"/>
  <externalReferences>
    <externalReference r:id="rId21"/>
    <externalReference r:id="rId22"/>
  </externalReferences>
  <definedNames>
    <definedName name="erBis" localSheetId="9">[1]Konfiguration!$B$8</definedName>
    <definedName name="erBis" localSheetId="16">[1]Konfiguration!$B$8</definedName>
    <definedName name="erBis" localSheetId="17">[1]Konfiguration!$B$8</definedName>
    <definedName name="erBis" localSheetId="18">[1]Konfiguration!$B$8</definedName>
    <definedName name="erBis">[2]Konfiguration!$B$8</definedName>
    <definedName name="erIntervallEinheit">[1]Konfiguration!$B$10</definedName>
    <definedName name="erProtokollTyp">[1]Konfiguration!$B$6</definedName>
    <definedName name="erRequestType" localSheetId="9">[1]Konfiguration!$B$17</definedName>
    <definedName name="erRequestType" localSheetId="16">[1]Konfiguration!$B$17</definedName>
    <definedName name="erRequestType" localSheetId="17">[1]Konfiguration!$B$17</definedName>
    <definedName name="erRequestType" localSheetId="18">[1]Konfiguration!$B$17</definedName>
    <definedName name="erRequestType">[2]Konfiguration!$B$17</definedName>
    <definedName name="erUserName" localSheetId="9">[1]Konfiguration!$B$16</definedName>
    <definedName name="erUserName" localSheetId="16">[1]Konfiguration!$B$16</definedName>
    <definedName name="erUserName" localSheetId="17">[1]Konfiguration!$B$16</definedName>
    <definedName name="erUserName" localSheetId="18">[1]Konfiguration!$B$16</definedName>
    <definedName name="erUserName">[2]Konfiguration!$B$16</definedName>
    <definedName name="erVon" localSheetId="9">[1]Konfiguration!$B$7</definedName>
    <definedName name="erVon" localSheetId="16">[1]Konfiguration!$B$7</definedName>
    <definedName name="erVon" localSheetId="17">[1]Konfiguration!$B$7</definedName>
    <definedName name="erVon" localSheetId="18">[1]Konfiguration!$B$7</definedName>
    <definedName name="erVon">[2]Konfiguration!$B$7</definedName>
    <definedName name="_xlnm.Print_Titles" localSheetId="0">A!$A:$A</definedName>
    <definedName name="_xlnm.Print_Titles" localSheetId="1">B!$A:$A</definedName>
    <definedName name="_xlnm.Print_Titles" localSheetId="2">'C'!$A:$A</definedName>
    <definedName name="_xlnm.Print_Titles" localSheetId="15">'Качество Std'!$A:$A</definedName>
    <definedName name="_xlnm.Print_Titles" localSheetId="3">'Счетчики Opr'!$1:$2</definedName>
    <definedName name="_xlnm.Print_Area" localSheetId="0">A!$A$9:$T$14</definedName>
    <definedName name="_xlnm.Print_Area" localSheetId="9">A_Diag!$A$1:$K$30</definedName>
    <definedName name="_xlnm.Print_Area" localSheetId="1">B!$A$9:$T$14</definedName>
    <definedName name="_xlnm.Print_Area" localSheetId="2">'C'!$A$9:$T$14</definedName>
    <definedName name="_xlnm.Print_Area" localSheetId="16">Q1_Diag!$A$1:$K$30</definedName>
    <definedName name="_xlnm.Print_Area" localSheetId="17">Q2_Diag!$A$1:$K$30</definedName>
    <definedName name="_xlnm.Print_Area" localSheetId="18">Q3_Diag!$A$1:$K$30</definedName>
    <definedName name="_xlnm.Print_Area" localSheetId="15">'Качество Std'!$A$9:$T$14</definedName>
    <definedName name="_xlnm.Print_Area" localSheetId="19">'Качество Чарты'!$A$9:$N$226</definedName>
    <definedName name="_xlnm.Print_Area" localSheetId="3">'Счетчики Opr'!$H$1:$M$9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22" l="1"/>
  <c r="A11" i="22"/>
  <c r="A12" i="21" l="1"/>
  <c r="A11" i="21"/>
  <c r="R164" i="20" l="1"/>
  <c r="P164" i="20"/>
  <c r="N164" i="20"/>
  <c r="R163" i="20"/>
  <c r="Q163" i="20"/>
  <c r="Q164" i="20" s="1"/>
  <c r="P163" i="20"/>
  <c r="O163" i="20"/>
  <c r="O164" i="20" s="1"/>
  <c r="N163" i="20"/>
  <c r="M163" i="20"/>
  <c r="R162" i="20"/>
  <c r="Q162" i="20"/>
  <c r="P162" i="20"/>
  <c r="O162" i="20"/>
  <c r="N162" i="20"/>
  <c r="M162" i="20"/>
  <c r="R159" i="20"/>
  <c r="R157" i="20"/>
  <c r="R166" i="20" s="1"/>
  <c r="P157" i="20"/>
  <c r="P166" i="20" s="1"/>
  <c r="N157" i="20"/>
  <c r="N166" i="20" s="1"/>
  <c r="R156" i="20"/>
  <c r="Q156" i="20"/>
  <c r="Q157" i="20" s="1"/>
  <c r="Q166" i="20" s="1"/>
  <c r="P156" i="20"/>
  <c r="O156" i="20"/>
  <c r="O157" i="20" s="1"/>
  <c r="O166" i="20" s="1"/>
  <c r="N156" i="20"/>
  <c r="M156" i="20"/>
  <c r="R155" i="20"/>
  <c r="Q155" i="20"/>
  <c r="P155" i="20"/>
  <c r="O155" i="20"/>
  <c r="N155" i="20"/>
  <c r="M155" i="20"/>
  <c r="R152" i="20"/>
  <c r="Q147" i="20"/>
  <c r="O147" i="20"/>
  <c r="R146" i="20"/>
  <c r="R147" i="20" s="1"/>
  <c r="Q146" i="20"/>
  <c r="P146" i="20"/>
  <c r="P147" i="20" s="1"/>
  <c r="O146" i="20"/>
  <c r="N146" i="20"/>
  <c r="N147" i="20" s="1"/>
  <c r="M146" i="20"/>
  <c r="R145" i="20"/>
  <c r="Q145" i="20"/>
  <c r="P145" i="20"/>
  <c r="O145" i="20"/>
  <c r="N145" i="20"/>
  <c r="M145" i="20"/>
  <c r="R142" i="20"/>
  <c r="R138" i="20"/>
  <c r="P138" i="20"/>
  <c r="N138" i="20"/>
  <c r="R137" i="20"/>
  <c r="Q137" i="20"/>
  <c r="Q138" i="20" s="1"/>
  <c r="P137" i="20"/>
  <c r="O137" i="20"/>
  <c r="O138" i="20" s="1"/>
  <c r="N137" i="20"/>
  <c r="M137" i="20"/>
  <c r="R136" i="20"/>
  <c r="Q136" i="20"/>
  <c r="P136" i="20"/>
  <c r="O136" i="20"/>
  <c r="N136" i="20"/>
  <c r="M136" i="20"/>
  <c r="R133" i="20"/>
  <c r="R131" i="20"/>
  <c r="P131" i="20"/>
  <c r="N131" i="20"/>
  <c r="R130" i="20"/>
  <c r="Q130" i="20"/>
  <c r="Q131" i="20" s="1"/>
  <c r="P130" i="20"/>
  <c r="O130" i="20"/>
  <c r="O131" i="20" s="1"/>
  <c r="N130" i="20"/>
  <c r="M130" i="20"/>
  <c r="R129" i="20"/>
  <c r="Q129" i="20"/>
  <c r="P129" i="20"/>
  <c r="O129" i="20"/>
  <c r="N129" i="20"/>
  <c r="M129" i="20"/>
  <c r="R126" i="20"/>
  <c r="R124" i="20"/>
  <c r="P124" i="20"/>
  <c r="N124" i="20"/>
  <c r="R123" i="20"/>
  <c r="Q123" i="20"/>
  <c r="Q124" i="20" s="1"/>
  <c r="P123" i="20"/>
  <c r="O123" i="20"/>
  <c r="O124" i="20" s="1"/>
  <c r="N123" i="20"/>
  <c r="M123" i="20"/>
  <c r="R122" i="20"/>
  <c r="Q122" i="20"/>
  <c r="P122" i="20"/>
  <c r="O122" i="20"/>
  <c r="N122" i="20"/>
  <c r="M122" i="20"/>
  <c r="R119" i="20"/>
  <c r="R117" i="20"/>
  <c r="P117" i="20"/>
  <c r="N117" i="20"/>
  <c r="R116" i="20"/>
  <c r="Q116" i="20"/>
  <c r="Q117" i="20" s="1"/>
  <c r="P116" i="20"/>
  <c r="O116" i="20"/>
  <c r="O117" i="20" s="1"/>
  <c r="N116" i="20"/>
  <c r="M116" i="20"/>
  <c r="R115" i="20"/>
  <c r="Q115" i="20"/>
  <c r="P115" i="20"/>
  <c r="O115" i="20"/>
  <c r="N115" i="20"/>
  <c r="M115" i="20"/>
  <c r="R112" i="20"/>
  <c r="R110" i="20"/>
  <c r="R140" i="20" s="1"/>
  <c r="P110" i="20"/>
  <c r="P140" i="20" s="1"/>
  <c r="N110" i="20"/>
  <c r="N140" i="20" s="1"/>
  <c r="R109" i="20"/>
  <c r="Q109" i="20"/>
  <c r="Q110" i="20" s="1"/>
  <c r="Q140" i="20" s="1"/>
  <c r="P109" i="20"/>
  <c r="O109" i="20"/>
  <c r="O110" i="20" s="1"/>
  <c r="O140" i="20" s="1"/>
  <c r="N109" i="20"/>
  <c r="M109" i="20"/>
  <c r="R108" i="20"/>
  <c r="Q108" i="20"/>
  <c r="P108" i="20"/>
  <c r="O108" i="20"/>
  <c r="N108" i="20"/>
  <c r="M108" i="20"/>
  <c r="R105" i="20"/>
  <c r="Q100" i="20"/>
  <c r="O100" i="20"/>
  <c r="R99" i="20"/>
  <c r="R100" i="20" s="1"/>
  <c r="Q99" i="20"/>
  <c r="P99" i="20"/>
  <c r="P100" i="20" s="1"/>
  <c r="O99" i="20"/>
  <c r="N99" i="20"/>
  <c r="N100" i="20" s="1"/>
  <c r="M99" i="20"/>
  <c r="R98" i="20"/>
  <c r="Q98" i="20"/>
  <c r="P98" i="20"/>
  <c r="O98" i="20"/>
  <c r="N98" i="20"/>
  <c r="M98" i="20"/>
  <c r="R95" i="20"/>
  <c r="Q93" i="20"/>
  <c r="O93" i="20"/>
  <c r="R92" i="20"/>
  <c r="R93" i="20" s="1"/>
  <c r="Q92" i="20"/>
  <c r="P92" i="20"/>
  <c r="P93" i="20" s="1"/>
  <c r="O92" i="20"/>
  <c r="N92" i="20"/>
  <c r="N93" i="20" s="1"/>
  <c r="M92" i="20"/>
  <c r="R91" i="20"/>
  <c r="Q91" i="20"/>
  <c r="P91" i="20"/>
  <c r="O91" i="20"/>
  <c r="N91" i="20"/>
  <c r="M91" i="20"/>
  <c r="R88" i="20"/>
  <c r="Q86" i="20"/>
  <c r="O86" i="20"/>
  <c r="R85" i="20"/>
  <c r="R86" i="20" s="1"/>
  <c r="Q85" i="20"/>
  <c r="P85" i="20"/>
  <c r="P86" i="20" s="1"/>
  <c r="O85" i="20"/>
  <c r="N85" i="20"/>
  <c r="N86" i="20" s="1"/>
  <c r="M85" i="20"/>
  <c r="R84" i="20"/>
  <c r="Q84" i="20"/>
  <c r="P84" i="20"/>
  <c r="O84" i="20"/>
  <c r="N84" i="20"/>
  <c r="M84" i="20"/>
  <c r="R81" i="20"/>
  <c r="Q79" i="20"/>
  <c r="O79" i="20"/>
  <c r="R78" i="20"/>
  <c r="R79" i="20" s="1"/>
  <c r="Q78" i="20"/>
  <c r="P78" i="20"/>
  <c r="P79" i="20" s="1"/>
  <c r="O78" i="20"/>
  <c r="N78" i="20"/>
  <c r="N79" i="20" s="1"/>
  <c r="M78" i="20"/>
  <c r="R77" i="20"/>
  <c r="Q77" i="20"/>
  <c r="P77" i="20"/>
  <c r="O77" i="20"/>
  <c r="N77" i="20"/>
  <c r="M77" i="20"/>
  <c r="R74" i="20"/>
  <c r="Q72" i="20"/>
  <c r="O72" i="20"/>
  <c r="R71" i="20"/>
  <c r="R72" i="20" s="1"/>
  <c r="Q71" i="20"/>
  <c r="P71" i="20"/>
  <c r="P72" i="20" s="1"/>
  <c r="O71" i="20"/>
  <c r="N71" i="20"/>
  <c r="N72" i="20" s="1"/>
  <c r="M71" i="20"/>
  <c r="R70" i="20"/>
  <c r="Q70" i="20"/>
  <c r="P70" i="20"/>
  <c r="O70" i="20"/>
  <c r="N70" i="20"/>
  <c r="M70" i="20"/>
  <c r="R67" i="20"/>
  <c r="Q65" i="20"/>
  <c r="Q102" i="20" s="1"/>
  <c r="O65" i="20"/>
  <c r="O102" i="20" s="1"/>
  <c r="R64" i="20"/>
  <c r="R65" i="20" s="1"/>
  <c r="R102" i="20" s="1"/>
  <c r="Q64" i="20"/>
  <c r="P64" i="20"/>
  <c r="P65" i="20" s="1"/>
  <c r="P102" i="20" s="1"/>
  <c r="O64" i="20"/>
  <c r="N64" i="20"/>
  <c r="N65" i="20" s="1"/>
  <c r="N102" i="20" s="1"/>
  <c r="M64" i="20"/>
  <c r="R63" i="20"/>
  <c r="Q63" i="20"/>
  <c r="P63" i="20"/>
  <c r="O63" i="20"/>
  <c r="N63" i="20"/>
  <c r="M63" i="20"/>
  <c r="R60" i="20"/>
  <c r="R55" i="20"/>
  <c r="P55" i="20"/>
  <c r="N55" i="20"/>
  <c r="R54" i="20"/>
  <c r="Q54" i="20"/>
  <c r="Q55" i="20" s="1"/>
  <c r="P54" i="20"/>
  <c r="O54" i="20"/>
  <c r="O55" i="20" s="1"/>
  <c r="N54" i="20"/>
  <c r="M54" i="20"/>
  <c r="R53" i="20"/>
  <c r="Q53" i="20"/>
  <c r="P53" i="20"/>
  <c r="O53" i="20"/>
  <c r="N53" i="20"/>
  <c r="M53" i="20"/>
  <c r="R50" i="20"/>
  <c r="R48" i="20"/>
  <c r="P48" i="20"/>
  <c r="N48" i="20"/>
  <c r="R47" i="20"/>
  <c r="Q47" i="20"/>
  <c r="Q48" i="20" s="1"/>
  <c r="P47" i="20"/>
  <c r="O47" i="20"/>
  <c r="O48" i="20" s="1"/>
  <c r="N47" i="20"/>
  <c r="M47" i="20"/>
  <c r="R46" i="20"/>
  <c r="Q46" i="20"/>
  <c r="P46" i="20"/>
  <c r="O46" i="20"/>
  <c r="N46" i="20"/>
  <c r="M46" i="20"/>
  <c r="R43" i="20"/>
  <c r="R41" i="20"/>
  <c r="P41" i="20"/>
  <c r="N41" i="20"/>
  <c r="R40" i="20"/>
  <c r="Q40" i="20"/>
  <c r="Q41" i="20" s="1"/>
  <c r="P40" i="20"/>
  <c r="O40" i="20"/>
  <c r="O41" i="20" s="1"/>
  <c r="N40" i="20"/>
  <c r="M40" i="20"/>
  <c r="R39" i="20"/>
  <c r="Q39" i="20"/>
  <c r="P39" i="20"/>
  <c r="O39" i="20"/>
  <c r="N39" i="20"/>
  <c r="M39" i="20"/>
  <c r="R36" i="20"/>
  <c r="R34" i="20"/>
  <c r="R57" i="20" s="1"/>
  <c r="P34" i="20"/>
  <c r="P57" i="20" s="1"/>
  <c r="P149" i="20" s="1"/>
  <c r="N34" i="20"/>
  <c r="N57" i="20" s="1"/>
  <c r="R33" i="20"/>
  <c r="Q33" i="20"/>
  <c r="Q34" i="20" s="1"/>
  <c r="Q57" i="20" s="1"/>
  <c r="P33" i="20"/>
  <c r="O33" i="20"/>
  <c r="O34" i="20" s="1"/>
  <c r="O57" i="20" s="1"/>
  <c r="O149" i="20" s="1"/>
  <c r="N33" i="20"/>
  <c r="M33" i="20"/>
  <c r="R32" i="20"/>
  <c r="Q32" i="20"/>
  <c r="P32" i="20"/>
  <c r="O32" i="20"/>
  <c r="N32" i="20"/>
  <c r="M32" i="20"/>
  <c r="R29" i="20"/>
  <c r="Q24" i="20"/>
  <c r="O24" i="20"/>
  <c r="R23" i="20"/>
  <c r="R24" i="20" s="1"/>
  <c r="Q23" i="20"/>
  <c r="P23" i="20"/>
  <c r="P24" i="20" s="1"/>
  <c r="O23" i="20"/>
  <c r="N23" i="20"/>
  <c r="N24" i="20" s="1"/>
  <c r="M23" i="20"/>
  <c r="R22" i="20"/>
  <c r="Q22" i="20"/>
  <c r="P22" i="20"/>
  <c r="O22" i="20"/>
  <c r="N22" i="20"/>
  <c r="M22" i="20"/>
  <c r="R19" i="20"/>
  <c r="Q17" i="20"/>
  <c r="O17" i="20"/>
  <c r="R16" i="20"/>
  <c r="R17" i="20" s="1"/>
  <c r="Q16" i="20"/>
  <c r="P16" i="20"/>
  <c r="P17" i="20" s="1"/>
  <c r="O16" i="20"/>
  <c r="N16" i="20"/>
  <c r="N17" i="20" s="1"/>
  <c r="M16" i="20"/>
  <c r="R15" i="20"/>
  <c r="Q15" i="20"/>
  <c r="P15" i="20"/>
  <c r="O15" i="20"/>
  <c r="N15" i="20"/>
  <c r="M15" i="20"/>
  <c r="R12" i="20"/>
  <c r="Q10" i="20"/>
  <c r="Q26" i="20" s="1"/>
  <c r="O10" i="20"/>
  <c r="O26" i="20" s="1"/>
  <c r="R9" i="20"/>
  <c r="R10" i="20" s="1"/>
  <c r="Q9" i="20"/>
  <c r="P9" i="20"/>
  <c r="P10" i="20" s="1"/>
  <c r="O9" i="20"/>
  <c r="N9" i="20"/>
  <c r="N10" i="20" s="1"/>
  <c r="M9" i="20"/>
  <c r="R8" i="20"/>
  <c r="Q8" i="20"/>
  <c r="P8" i="20"/>
  <c r="O8" i="20"/>
  <c r="N8" i="20"/>
  <c r="M8" i="20"/>
  <c r="R5" i="20"/>
  <c r="N26" i="20" l="1"/>
  <c r="P26" i="20"/>
  <c r="R26" i="20"/>
  <c r="Q149" i="20"/>
  <c r="N149" i="20"/>
  <c r="R149" i="20"/>
  <c r="O16" i="1"/>
  <c r="M6" i="5" l="1"/>
  <c r="L6" i="5"/>
  <c r="K6" i="5"/>
  <c r="J6" i="5"/>
  <c r="I6" i="5"/>
  <c r="R23" i="1"/>
  <c r="R22" i="1"/>
  <c r="Q23" i="1"/>
  <c r="Q22" i="1"/>
  <c r="P23" i="1"/>
  <c r="P22" i="1"/>
  <c r="O23" i="1"/>
  <c r="O22" i="1"/>
  <c r="N23" i="1"/>
  <c r="N22" i="1"/>
  <c r="R16" i="1"/>
  <c r="R15" i="1"/>
  <c r="Q16" i="1"/>
  <c r="Q15" i="1"/>
  <c r="P16" i="1"/>
  <c r="P15" i="1"/>
  <c r="O15" i="1"/>
  <c r="N16" i="1"/>
  <c r="N15" i="1"/>
  <c r="R9" i="1"/>
  <c r="R8" i="1"/>
  <c r="Q9" i="1"/>
  <c r="Q8" i="1"/>
  <c r="P9" i="1"/>
  <c r="P8" i="1"/>
  <c r="O9" i="1"/>
  <c r="O8" i="1"/>
  <c r="N9" i="1"/>
  <c r="N8" i="1"/>
  <c r="R23" i="18" l="1"/>
  <c r="R22" i="18"/>
  <c r="Q23" i="18"/>
  <c r="Q22" i="18"/>
  <c r="P23" i="18"/>
  <c r="P22" i="18"/>
  <c r="O23" i="18"/>
  <c r="O22" i="18"/>
  <c r="N23" i="18"/>
  <c r="N22" i="18"/>
  <c r="R16" i="18"/>
  <c r="R15" i="18"/>
  <c r="Q16" i="18"/>
  <c r="Q15" i="18"/>
  <c r="P16" i="18"/>
  <c r="P15" i="18"/>
  <c r="O16" i="18"/>
  <c r="O15" i="18"/>
  <c r="N16" i="18"/>
  <c r="N15" i="18"/>
  <c r="R9" i="18"/>
  <c r="R8" i="18"/>
  <c r="Q9" i="18"/>
  <c r="Q8" i="18"/>
  <c r="P9" i="18"/>
  <c r="P8" i="18"/>
  <c r="O9" i="18"/>
  <c r="O8" i="18"/>
  <c r="N9" i="18"/>
  <c r="N8" i="18"/>
  <c r="O53" i="19" l="1"/>
  <c r="P53" i="19"/>
  <c r="Q53" i="19"/>
  <c r="R53" i="19"/>
  <c r="O52" i="19"/>
  <c r="P52" i="19"/>
  <c r="Q52" i="19"/>
  <c r="R52" i="19"/>
  <c r="O43" i="19"/>
  <c r="P43" i="19"/>
  <c r="Q43" i="19"/>
  <c r="R43" i="19"/>
  <c r="O42" i="19"/>
  <c r="P42" i="19"/>
  <c r="Q42" i="19"/>
  <c r="R42" i="19"/>
  <c r="O36" i="19"/>
  <c r="P36" i="19"/>
  <c r="Q36" i="19"/>
  <c r="R36" i="19"/>
  <c r="O35" i="19"/>
  <c r="P35" i="19"/>
  <c r="Q35" i="19"/>
  <c r="R35" i="19"/>
  <c r="O26" i="19"/>
  <c r="P26" i="19"/>
  <c r="Q26" i="19"/>
  <c r="R26" i="19"/>
  <c r="O25" i="19"/>
  <c r="P25" i="19"/>
  <c r="Q25" i="19"/>
  <c r="R25" i="19"/>
  <c r="N26" i="19"/>
  <c r="N25" i="19"/>
  <c r="N35" i="19"/>
  <c r="N36" i="19"/>
  <c r="N42" i="19"/>
  <c r="N43" i="19"/>
  <c r="N53" i="19"/>
  <c r="N52" i="19"/>
  <c r="R49" i="19"/>
  <c r="R39" i="19"/>
  <c r="R32" i="19"/>
  <c r="R22" i="19"/>
  <c r="M53" i="19"/>
  <c r="M52" i="19"/>
  <c r="M43" i="19"/>
  <c r="M42" i="19"/>
  <c r="M36" i="19"/>
  <c r="M35" i="19"/>
  <c r="M26" i="19"/>
  <c r="M25" i="19"/>
  <c r="R16" i="19"/>
  <c r="Q16" i="19"/>
  <c r="P16" i="19"/>
  <c r="O16" i="19"/>
  <c r="N16" i="19"/>
  <c r="M16" i="19"/>
  <c r="R15" i="19"/>
  <c r="Q15" i="19"/>
  <c r="P15" i="19"/>
  <c r="O15" i="19"/>
  <c r="N15" i="19"/>
  <c r="M15" i="19"/>
  <c r="R12" i="19"/>
  <c r="R9" i="19"/>
  <c r="Q9" i="19"/>
  <c r="P9" i="19"/>
  <c r="O9" i="19"/>
  <c r="N9" i="19"/>
  <c r="M9" i="19"/>
  <c r="R8" i="19"/>
  <c r="Q8" i="19"/>
  <c r="P8" i="19"/>
  <c r="O8" i="19"/>
  <c r="N8" i="19"/>
  <c r="M8" i="19"/>
  <c r="R5" i="19"/>
  <c r="N10" i="19" l="1"/>
  <c r="Q44" i="19"/>
  <c r="O44" i="19"/>
  <c r="N54" i="19"/>
  <c r="N56" i="19" s="1"/>
  <c r="R10" i="19"/>
  <c r="P10" i="19"/>
  <c r="Q37" i="19"/>
  <c r="P17" i="19"/>
  <c r="O27" i="19"/>
  <c r="O29" i="19" s="1"/>
  <c r="R54" i="19"/>
  <c r="R56" i="19" s="1"/>
  <c r="P54" i="19"/>
  <c r="P56" i="19" s="1"/>
  <c r="Q10" i="19"/>
  <c r="Q19" i="19" s="1"/>
  <c r="O10" i="19"/>
  <c r="O17" i="19"/>
  <c r="Q17" i="19"/>
  <c r="P44" i="19"/>
  <c r="N44" i="19"/>
  <c r="R44" i="19"/>
  <c r="Q54" i="19"/>
  <c r="Q56" i="19" s="1"/>
  <c r="N17" i="19"/>
  <c r="N19" i="19" s="1"/>
  <c r="R17" i="19"/>
  <c r="R19" i="19" s="1"/>
  <c r="N27" i="19"/>
  <c r="N29" i="19" s="1"/>
  <c r="R27" i="19"/>
  <c r="R29" i="19" s="1"/>
  <c r="P27" i="19"/>
  <c r="P29" i="19" s="1"/>
  <c r="P37" i="19"/>
  <c r="N37" i="19"/>
  <c r="N46" i="19" s="1"/>
  <c r="R37" i="19"/>
  <c r="Q27" i="19"/>
  <c r="Q29" i="19" s="1"/>
  <c r="O37" i="19"/>
  <c r="O54" i="19"/>
  <c r="O56" i="19" s="1"/>
  <c r="O75" i="18"/>
  <c r="P75" i="18"/>
  <c r="Q75" i="18"/>
  <c r="R75" i="18"/>
  <c r="O76" i="18"/>
  <c r="P76" i="18"/>
  <c r="Q76" i="18"/>
  <c r="R76" i="18"/>
  <c r="N76" i="18"/>
  <c r="N75" i="18"/>
  <c r="R72" i="18"/>
  <c r="O69" i="18"/>
  <c r="P69" i="18"/>
  <c r="Q69" i="18"/>
  <c r="R69" i="18"/>
  <c r="O68" i="18"/>
  <c r="P68" i="18"/>
  <c r="Q68" i="18"/>
  <c r="R68" i="18"/>
  <c r="R65" i="18"/>
  <c r="N69" i="18"/>
  <c r="N68" i="18"/>
  <c r="O62" i="18"/>
  <c r="O63" i="18" s="1"/>
  <c r="P62" i="18"/>
  <c r="Q62" i="18"/>
  <c r="R62" i="18"/>
  <c r="N62" i="18"/>
  <c r="O61" i="18"/>
  <c r="P61" i="18"/>
  <c r="P63" i="18" s="1"/>
  <c r="Q61" i="18"/>
  <c r="R61" i="18"/>
  <c r="N61" i="18"/>
  <c r="R58" i="18"/>
  <c r="O52" i="18"/>
  <c r="P52" i="18"/>
  <c r="Q52" i="18"/>
  <c r="R52" i="18"/>
  <c r="O51" i="18"/>
  <c r="P51" i="18"/>
  <c r="Q51" i="18"/>
  <c r="R51" i="18"/>
  <c r="N52" i="18"/>
  <c r="N51" i="18"/>
  <c r="R48" i="18"/>
  <c r="R77" i="18"/>
  <c r="O77" i="18"/>
  <c r="M76" i="18"/>
  <c r="M75" i="18"/>
  <c r="P70" i="18"/>
  <c r="M69" i="18"/>
  <c r="M68" i="18"/>
  <c r="M62" i="18"/>
  <c r="M61" i="18"/>
  <c r="Q53" i="18"/>
  <c r="Q55" i="18" s="1"/>
  <c r="M52" i="18"/>
  <c r="M51" i="18"/>
  <c r="R40" i="18"/>
  <c r="Q40" i="18"/>
  <c r="P40" i="18"/>
  <c r="O40" i="18"/>
  <c r="N40" i="18"/>
  <c r="M40" i="18"/>
  <c r="R39" i="18"/>
  <c r="Q39" i="18"/>
  <c r="P39" i="18"/>
  <c r="O39" i="18"/>
  <c r="N39" i="18"/>
  <c r="M39" i="18"/>
  <c r="R36" i="18"/>
  <c r="R33" i="18"/>
  <c r="Q33" i="18"/>
  <c r="P33" i="18"/>
  <c r="O33" i="18"/>
  <c r="N33" i="18"/>
  <c r="M33" i="18"/>
  <c r="R32" i="18"/>
  <c r="Q32" i="18"/>
  <c r="P32" i="18"/>
  <c r="O32" i="18"/>
  <c r="N32" i="18"/>
  <c r="M32" i="18"/>
  <c r="R29" i="18"/>
  <c r="O24" i="18"/>
  <c r="M23" i="18"/>
  <c r="M22" i="18"/>
  <c r="R19" i="18"/>
  <c r="M16" i="18"/>
  <c r="M15" i="18"/>
  <c r="R12" i="18"/>
  <c r="Q10" i="18"/>
  <c r="M9" i="18"/>
  <c r="M8" i="18"/>
  <c r="R5" i="18"/>
  <c r="O46" i="19" l="1"/>
  <c r="P46" i="19"/>
  <c r="P19" i="19"/>
  <c r="R46" i="19"/>
  <c r="Q46" i="19"/>
  <c r="O19" i="19"/>
  <c r="N53" i="18"/>
  <c r="N55" i="18" s="1"/>
  <c r="O41" i="18"/>
  <c r="P10" i="18"/>
  <c r="O17" i="18"/>
  <c r="P24" i="18"/>
  <c r="Q34" i="18"/>
  <c r="P41" i="18"/>
  <c r="N63" i="18"/>
  <c r="Q70" i="18"/>
  <c r="N34" i="18"/>
  <c r="R34" i="18"/>
  <c r="N17" i="18"/>
  <c r="R17" i="18"/>
  <c r="P53" i="18"/>
  <c r="P55" i="18" s="1"/>
  <c r="N77" i="18"/>
  <c r="R63" i="18"/>
  <c r="R53" i="18"/>
  <c r="R55" i="18" s="1"/>
  <c r="N10" i="18"/>
  <c r="R10" i="18"/>
  <c r="P17" i="18"/>
  <c r="Q24" i="18"/>
  <c r="O34" i="18"/>
  <c r="O43" i="18" s="1"/>
  <c r="Q41" i="18"/>
  <c r="Q43" i="18" s="1"/>
  <c r="O53" i="18"/>
  <c r="O55" i="18" s="1"/>
  <c r="Q63" i="18"/>
  <c r="N70" i="18"/>
  <c r="R70" i="18"/>
  <c r="P77" i="18"/>
  <c r="P79" i="18" s="1"/>
  <c r="O10" i="18"/>
  <c r="Q17" i="18"/>
  <c r="N24" i="18"/>
  <c r="R24" i="18"/>
  <c r="P34" i="18"/>
  <c r="N41" i="18"/>
  <c r="R41" i="18"/>
  <c r="O70" i="18"/>
  <c r="O79" i="18" s="1"/>
  <c r="Q77" i="18"/>
  <c r="O26" i="18"/>
  <c r="O120" i="17"/>
  <c r="P120" i="17"/>
  <c r="Q120" i="17"/>
  <c r="R120" i="17"/>
  <c r="O119" i="17"/>
  <c r="P119" i="17"/>
  <c r="Q119" i="17"/>
  <c r="R119" i="17"/>
  <c r="N120" i="17"/>
  <c r="N119" i="17"/>
  <c r="R116" i="17"/>
  <c r="O113" i="17"/>
  <c r="P113" i="17"/>
  <c r="Q113" i="17"/>
  <c r="R113" i="17"/>
  <c r="O112" i="17"/>
  <c r="P112" i="17"/>
  <c r="Q112" i="17"/>
  <c r="R112" i="17"/>
  <c r="N113" i="17"/>
  <c r="N112" i="17"/>
  <c r="N105" i="17"/>
  <c r="R109" i="17"/>
  <c r="O105" i="17"/>
  <c r="P105" i="17"/>
  <c r="Q105" i="17"/>
  <c r="R105" i="17"/>
  <c r="O106" i="17"/>
  <c r="P106" i="17"/>
  <c r="Q106" i="17"/>
  <c r="R106" i="17"/>
  <c r="O99" i="17"/>
  <c r="P99" i="17"/>
  <c r="Q99" i="17"/>
  <c r="R99" i="17"/>
  <c r="N99" i="17"/>
  <c r="O92" i="17"/>
  <c r="P92" i="17"/>
  <c r="Q92" i="17"/>
  <c r="R92" i="17"/>
  <c r="N92" i="17"/>
  <c r="N106" i="17"/>
  <c r="R102" i="17"/>
  <c r="O98" i="17"/>
  <c r="P98" i="17"/>
  <c r="Q98" i="17"/>
  <c r="R98" i="17"/>
  <c r="N98" i="17"/>
  <c r="R95" i="17"/>
  <c r="O91" i="17"/>
  <c r="P91" i="17"/>
  <c r="Q91" i="17"/>
  <c r="R91" i="17"/>
  <c r="N91" i="17"/>
  <c r="R88" i="17"/>
  <c r="R81" i="17"/>
  <c r="O85" i="17"/>
  <c r="P85" i="17"/>
  <c r="Q85" i="17"/>
  <c r="R85" i="17"/>
  <c r="O84" i="17"/>
  <c r="P84" i="17"/>
  <c r="Q84" i="17"/>
  <c r="R84" i="17"/>
  <c r="N85" i="17"/>
  <c r="N84" i="17"/>
  <c r="O75" i="17"/>
  <c r="P75" i="17"/>
  <c r="Q75" i="17"/>
  <c r="R75" i="17"/>
  <c r="N75" i="17"/>
  <c r="O68" i="17"/>
  <c r="P68" i="17"/>
  <c r="Q68" i="17"/>
  <c r="R68" i="17"/>
  <c r="N68" i="17"/>
  <c r="N67" i="17"/>
  <c r="O61" i="17"/>
  <c r="P61" i="17"/>
  <c r="Q61" i="17"/>
  <c r="R61" i="17"/>
  <c r="N61" i="17"/>
  <c r="O54" i="17"/>
  <c r="P54" i="17"/>
  <c r="Q54" i="17"/>
  <c r="R54" i="17"/>
  <c r="N54" i="17"/>
  <c r="O47" i="17"/>
  <c r="P47" i="17"/>
  <c r="Q47" i="17"/>
  <c r="R47" i="17"/>
  <c r="N47" i="17"/>
  <c r="O40" i="17"/>
  <c r="P40" i="17"/>
  <c r="Q40" i="17"/>
  <c r="R40" i="17"/>
  <c r="N40" i="17"/>
  <c r="O33" i="17"/>
  <c r="P33" i="17"/>
  <c r="Q33" i="17"/>
  <c r="R33" i="17"/>
  <c r="N33" i="17"/>
  <c r="O23" i="17"/>
  <c r="P23" i="17"/>
  <c r="Q23" i="17"/>
  <c r="R23" i="17"/>
  <c r="N23" i="17"/>
  <c r="O16" i="17"/>
  <c r="P16" i="17"/>
  <c r="Q16" i="17"/>
  <c r="R16" i="17"/>
  <c r="N16" i="17"/>
  <c r="R9" i="17"/>
  <c r="O9" i="17"/>
  <c r="P9" i="17"/>
  <c r="Q9" i="17"/>
  <c r="O8" i="17"/>
  <c r="P8" i="17"/>
  <c r="Q8" i="17"/>
  <c r="R8" i="17"/>
  <c r="N9" i="17"/>
  <c r="P26" i="18" l="1"/>
  <c r="R43" i="18"/>
  <c r="P43" i="18"/>
  <c r="P45" i="18" s="1"/>
  <c r="Q79" i="18"/>
  <c r="R79" i="18"/>
  <c r="N79" i="18"/>
  <c r="O45" i="18"/>
  <c r="N43" i="18"/>
  <c r="Q26" i="18"/>
  <c r="Q45" i="18" s="1"/>
  <c r="R26" i="18"/>
  <c r="R45" i="18" s="1"/>
  <c r="N26" i="18"/>
  <c r="N45" i="18" l="1"/>
  <c r="R121" i="17" l="1"/>
  <c r="N121" i="17"/>
  <c r="M120" i="17"/>
  <c r="M119" i="17"/>
  <c r="N114" i="17"/>
  <c r="M113" i="17"/>
  <c r="R114" i="17"/>
  <c r="M112" i="17"/>
  <c r="N107" i="17"/>
  <c r="M106" i="17"/>
  <c r="P107" i="17"/>
  <c r="M105" i="17"/>
  <c r="N100" i="17"/>
  <c r="M99" i="17"/>
  <c r="R100" i="17"/>
  <c r="M98" i="17"/>
  <c r="M92" i="17"/>
  <c r="M91" i="17"/>
  <c r="N86" i="17"/>
  <c r="M85" i="17"/>
  <c r="M84" i="17"/>
  <c r="M75" i="17"/>
  <c r="R74" i="17"/>
  <c r="Q74" i="17"/>
  <c r="P74" i="17"/>
  <c r="O74" i="17"/>
  <c r="O76" i="17" s="1"/>
  <c r="N74" i="17"/>
  <c r="M74" i="17"/>
  <c r="R71" i="17"/>
  <c r="M68" i="17"/>
  <c r="R67" i="17"/>
  <c r="Q67" i="17"/>
  <c r="Q69" i="17" s="1"/>
  <c r="P67" i="17"/>
  <c r="O67" i="17"/>
  <c r="M67" i="17"/>
  <c r="R64" i="17"/>
  <c r="M61" i="17"/>
  <c r="R60" i="17"/>
  <c r="Q60" i="17"/>
  <c r="P60" i="17"/>
  <c r="O60" i="17"/>
  <c r="O62" i="17" s="1"/>
  <c r="N60" i="17"/>
  <c r="M60" i="17"/>
  <c r="R57" i="17"/>
  <c r="M54" i="17"/>
  <c r="R53" i="17"/>
  <c r="R55" i="17" s="1"/>
  <c r="Q53" i="17"/>
  <c r="P53" i="17"/>
  <c r="O53" i="17"/>
  <c r="O55" i="17" s="1"/>
  <c r="N53" i="17"/>
  <c r="N55" i="17" s="1"/>
  <c r="M53" i="17"/>
  <c r="R50" i="17"/>
  <c r="M47" i="17"/>
  <c r="R46" i="17"/>
  <c r="Q46" i="17"/>
  <c r="Q48" i="17" s="1"/>
  <c r="P46" i="17"/>
  <c r="P48" i="17" s="1"/>
  <c r="O46" i="17"/>
  <c r="N46" i="17"/>
  <c r="M46" i="17"/>
  <c r="R43" i="17"/>
  <c r="M40" i="17"/>
  <c r="R39" i="17"/>
  <c r="R41" i="17" s="1"/>
  <c r="Q39" i="17"/>
  <c r="P39" i="17"/>
  <c r="P41" i="17" s="1"/>
  <c r="O39" i="17"/>
  <c r="O41" i="17" s="1"/>
  <c r="N39" i="17"/>
  <c r="N41" i="17" s="1"/>
  <c r="M39" i="17"/>
  <c r="R36" i="17"/>
  <c r="M33" i="17"/>
  <c r="R32" i="17"/>
  <c r="R34" i="17" s="1"/>
  <c r="Q32" i="17"/>
  <c r="Q34" i="17" s="1"/>
  <c r="P32" i="17"/>
  <c r="P34" i="17" s="1"/>
  <c r="O32" i="17"/>
  <c r="N32" i="17"/>
  <c r="N34" i="17" s="1"/>
  <c r="M32" i="17"/>
  <c r="R29" i="17"/>
  <c r="M23" i="17"/>
  <c r="R22" i="17"/>
  <c r="R24" i="17" s="1"/>
  <c r="Q22" i="17"/>
  <c r="P22" i="17"/>
  <c r="O22" i="17"/>
  <c r="O24" i="17" s="1"/>
  <c r="N22" i="17"/>
  <c r="N24" i="17" s="1"/>
  <c r="M22" i="17"/>
  <c r="R19" i="17"/>
  <c r="M16" i="17"/>
  <c r="R15" i="17"/>
  <c r="R17" i="17" s="1"/>
  <c r="Q15" i="17"/>
  <c r="Q17" i="17" s="1"/>
  <c r="P15" i="17"/>
  <c r="O15" i="17"/>
  <c r="N15" i="17"/>
  <c r="N17" i="17" s="1"/>
  <c r="M15" i="17"/>
  <c r="R12" i="17"/>
  <c r="M9" i="17"/>
  <c r="O10" i="17"/>
  <c r="N8" i="17"/>
  <c r="M8" i="17"/>
  <c r="R5" i="17"/>
  <c r="P93" i="17" l="1"/>
  <c r="O121" i="17"/>
  <c r="R86" i="17"/>
  <c r="P86" i="17"/>
  <c r="P76" i="17"/>
  <c r="O100" i="17"/>
  <c r="Q107" i="17"/>
  <c r="O114" i="17"/>
  <c r="P121" i="17"/>
  <c r="P62" i="17"/>
  <c r="N69" i="17"/>
  <c r="R69" i="17"/>
  <c r="O86" i="17"/>
  <c r="Q93" i="17"/>
  <c r="R107" i="17"/>
  <c r="P114" i="17"/>
  <c r="Q121" i="17"/>
  <c r="P10" i="17"/>
  <c r="O17" i="17"/>
  <c r="O26" i="17" s="1"/>
  <c r="P24" i="17"/>
  <c r="N48" i="17"/>
  <c r="R48" i="17"/>
  <c r="P55" i="17"/>
  <c r="Q62" i="17"/>
  <c r="O69" i="17"/>
  <c r="Q76" i="17"/>
  <c r="Q86" i="17"/>
  <c r="N93" i="17"/>
  <c r="N123" i="17" s="1"/>
  <c r="R93" i="17"/>
  <c r="P100" i="17"/>
  <c r="Q10" i="17"/>
  <c r="Q24" i="17"/>
  <c r="O48" i="17"/>
  <c r="Q55" i="17"/>
  <c r="N62" i="17"/>
  <c r="R62" i="17"/>
  <c r="P69" i="17"/>
  <c r="N76" i="17"/>
  <c r="R76" i="17"/>
  <c r="N10" i="17"/>
  <c r="N26" i="17" s="1"/>
  <c r="R10" i="17"/>
  <c r="R26" i="17" s="1"/>
  <c r="O93" i="17"/>
  <c r="Q100" i="17"/>
  <c r="P17" i="17"/>
  <c r="O34" i="17"/>
  <c r="O78" i="17" s="1"/>
  <c r="Q41" i="17"/>
  <c r="Q78" i="17" s="1"/>
  <c r="O107" i="17"/>
  <c r="Q114" i="17"/>
  <c r="Q123" i="17" l="1"/>
  <c r="R123" i="17"/>
  <c r="Q125" i="17"/>
  <c r="R78" i="17"/>
  <c r="R125" i="17" s="1"/>
  <c r="O123" i="17"/>
  <c r="O125" i="17" s="1"/>
  <c r="Q26" i="17"/>
  <c r="P123" i="17"/>
  <c r="N78" i="17"/>
  <c r="N125" i="17" s="1"/>
  <c r="P78" i="17"/>
  <c r="P26" i="17"/>
  <c r="A12" i="16"/>
  <c r="A11" i="16"/>
  <c r="P125" i="17" l="1"/>
  <c r="E114" i="15"/>
  <c r="C114" i="15"/>
  <c r="E87" i="15"/>
  <c r="C87" i="15"/>
  <c r="E141" i="14"/>
  <c r="C141" i="14"/>
  <c r="E114" i="14"/>
  <c r="C114" i="14"/>
  <c r="E87" i="14"/>
  <c r="C87" i="14"/>
  <c r="E87" i="13" l="1"/>
  <c r="C87" i="13"/>
  <c r="K33" i="12" l="1"/>
  <c r="J33" i="12"/>
  <c r="I33" i="12"/>
  <c r="H33" i="12"/>
  <c r="G33" i="12"/>
  <c r="F33" i="12"/>
  <c r="E33" i="12"/>
  <c r="D33" i="12"/>
  <c r="C33" i="12"/>
  <c r="B33" i="12"/>
  <c r="K32" i="12"/>
  <c r="J32" i="12"/>
  <c r="I32" i="12"/>
  <c r="H32" i="12"/>
  <c r="G32" i="12"/>
  <c r="F32" i="12"/>
  <c r="E32" i="12"/>
  <c r="D32" i="12"/>
  <c r="C32" i="12"/>
  <c r="B32" i="12"/>
  <c r="K31" i="12"/>
  <c r="J31" i="12"/>
  <c r="I31" i="12"/>
  <c r="H31" i="12"/>
  <c r="G31" i="12"/>
  <c r="F31" i="12"/>
  <c r="E31" i="12"/>
  <c r="D31" i="12"/>
  <c r="C31" i="12"/>
  <c r="B31" i="12"/>
  <c r="K5" i="12"/>
  <c r="I5" i="12"/>
  <c r="G5" i="12"/>
  <c r="E5" i="12"/>
  <c r="C5" i="12"/>
  <c r="J31" i="11"/>
  <c r="K31" i="11"/>
  <c r="L31" i="11"/>
  <c r="M31" i="11"/>
  <c r="J32" i="11"/>
  <c r="K32" i="11"/>
  <c r="L32" i="11"/>
  <c r="M32" i="11"/>
  <c r="J33" i="11"/>
  <c r="K33" i="11"/>
  <c r="L33" i="11"/>
  <c r="M33" i="11"/>
  <c r="M5" i="11"/>
  <c r="K5" i="11"/>
  <c r="I33" i="11"/>
  <c r="H33" i="11"/>
  <c r="G33" i="11"/>
  <c r="F33" i="11"/>
  <c r="E33" i="11"/>
  <c r="D33" i="11"/>
  <c r="C33" i="11"/>
  <c r="B33" i="11"/>
  <c r="I32" i="11"/>
  <c r="H32" i="11"/>
  <c r="G32" i="11"/>
  <c r="F32" i="11"/>
  <c r="E32" i="11"/>
  <c r="D32" i="11"/>
  <c r="C32" i="11"/>
  <c r="B32" i="11"/>
  <c r="I31" i="11"/>
  <c r="H31" i="11"/>
  <c r="G31" i="11"/>
  <c r="F31" i="11"/>
  <c r="E31" i="11"/>
  <c r="D31" i="11"/>
  <c r="C31" i="11"/>
  <c r="B31" i="11"/>
  <c r="I5" i="11"/>
  <c r="G5" i="11"/>
  <c r="E5" i="11"/>
  <c r="C5" i="11"/>
  <c r="H31" i="10"/>
  <c r="I31" i="10"/>
  <c r="H32" i="10"/>
  <c r="I32" i="10"/>
  <c r="H33" i="10"/>
  <c r="I33" i="10"/>
  <c r="I5" i="10"/>
  <c r="G33" i="10"/>
  <c r="F33" i="10"/>
  <c r="E33" i="10"/>
  <c r="D33" i="10"/>
  <c r="C33" i="10"/>
  <c r="B33" i="10"/>
  <c r="G32" i="10"/>
  <c r="F32" i="10"/>
  <c r="E32" i="10"/>
  <c r="D32" i="10"/>
  <c r="C32" i="10"/>
  <c r="B32" i="10"/>
  <c r="G31" i="10"/>
  <c r="F31" i="10"/>
  <c r="E31" i="10"/>
  <c r="D31" i="10"/>
  <c r="C31" i="10"/>
  <c r="B31" i="10"/>
  <c r="G5" i="10"/>
  <c r="E5" i="10"/>
  <c r="C5" i="10"/>
  <c r="C31" i="7" l="1"/>
  <c r="D31" i="7"/>
  <c r="E31" i="7"/>
  <c r="F31" i="7"/>
  <c r="G31" i="7"/>
  <c r="C32" i="7"/>
  <c r="D32" i="7"/>
  <c r="E32" i="7"/>
  <c r="F32" i="7"/>
  <c r="G32" i="7"/>
  <c r="C33" i="7"/>
  <c r="D33" i="7"/>
  <c r="E33" i="7"/>
  <c r="F33" i="7"/>
  <c r="G33" i="7"/>
  <c r="B32" i="7"/>
  <c r="B31" i="7"/>
  <c r="B33" i="7"/>
  <c r="C32" i="15" l="1"/>
  <c r="C32" i="14"/>
  <c r="C32" i="13"/>
  <c r="E5" i="15"/>
  <c r="E5" i="14"/>
  <c r="E5" i="13"/>
  <c r="E5" i="9"/>
  <c r="C5" i="15"/>
  <c r="C5" i="14"/>
  <c r="C5" i="13"/>
  <c r="C5" i="9"/>
  <c r="C60" i="15"/>
  <c r="C60" i="14"/>
  <c r="C60" i="13"/>
  <c r="E60" i="15"/>
  <c r="E60" i="14"/>
  <c r="E60" i="13"/>
  <c r="E32" i="15"/>
  <c r="E32" i="14"/>
  <c r="E32" i="13"/>
  <c r="G5" i="7"/>
  <c r="E5" i="7"/>
  <c r="C5" i="7"/>
  <c r="R19" i="1" l="1"/>
  <c r="R12" i="1"/>
  <c r="R5" i="1"/>
  <c r="M23" i="1" l="1"/>
  <c r="M22" i="1"/>
  <c r="M16" i="1"/>
  <c r="M15" i="1"/>
  <c r="P10" i="1" l="1"/>
  <c r="Q10" i="1"/>
  <c r="M9" i="1"/>
  <c r="M8" i="1"/>
  <c r="R24" i="1"/>
  <c r="Q24" i="1"/>
  <c r="P24" i="1"/>
  <c r="O24" i="1"/>
  <c r="N24" i="1"/>
  <c r="R17" i="1"/>
  <c r="Q17" i="1"/>
  <c r="P17" i="1"/>
  <c r="O17" i="1"/>
  <c r="N17" i="1"/>
  <c r="N10" i="1"/>
  <c r="O10" i="1"/>
  <c r="O26" i="1" l="1"/>
  <c r="Q26" i="1"/>
  <c r="P26" i="1"/>
  <c r="N26" i="1"/>
  <c r="R10" i="1"/>
  <c r="R26" i="1" s="1"/>
  <c r="H6" i="5"/>
  <c r="A12" i="2" l="1"/>
  <c r="A11" i="2"/>
  <c r="A11" i="4"/>
  <c r="A10" i="4"/>
</calcChain>
</file>

<file path=xl/sharedStrings.xml><?xml version="1.0" encoding="utf-8"?>
<sst xmlns="http://schemas.openxmlformats.org/spreadsheetml/2006/main" count="797" uniqueCount="148">
  <si>
    <t>Тип отчета</t>
  </si>
  <si>
    <t>Ax</t>
  </si>
  <si>
    <t>Напряжение L1-L2</t>
  </si>
  <si>
    <t>Напряжение L2-L3</t>
  </si>
  <si>
    <t>Напряжение L3-L1</t>
  </si>
  <si>
    <t>Несимметрия амплитуд напряжения</t>
  </si>
  <si>
    <t>Ток L1</t>
  </si>
  <si>
    <t>Ток L2</t>
  </si>
  <si>
    <t>Ток L3</t>
  </si>
  <si>
    <t>Несимметрия амплитуд тока</t>
  </si>
  <si>
    <t>Полная мощность по сумме фаз</t>
  </si>
  <si>
    <t>Активная мощность по сумме фаз</t>
  </si>
  <si>
    <t>Реактивная мощность по сумме фаз</t>
  </si>
  <si>
    <t>Общий коэффициент мощности</t>
  </si>
  <si>
    <t>Частота</t>
  </si>
  <si>
    <t>THD-R Напряжение L1</t>
  </si>
  <si>
    <t>THD-R Напряжение L2</t>
  </si>
  <si>
    <t>THD-R Напряжение L3</t>
  </si>
  <si>
    <t>THD-R Ток L1</t>
  </si>
  <si>
    <t>THD-R Ток L2</t>
  </si>
  <si>
    <t>THD-R Ток L3</t>
  </si>
  <si>
    <t>Начало</t>
  </si>
  <si>
    <t>Конец</t>
  </si>
  <si>
    <t>Суточный отчет</t>
  </si>
  <si>
    <t>Дата_Начала</t>
  </si>
  <si>
    <t>Дата_Конца</t>
  </si>
  <si>
    <t>Отчет по качеству электроэнергии</t>
  </si>
  <si>
    <t>A1x</t>
  </si>
  <si>
    <t>Показания счетчиков электроэнергии</t>
  </si>
  <si>
    <t xml:space="preserve">Показания счетчиков на </t>
  </si>
  <si>
    <t>Потребление</t>
  </si>
  <si>
    <t>Отдача</t>
  </si>
  <si>
    <t>Полная энергия (кВАч)</t>
  </si>
  <si>
    <t>Акт. Энергия (кВтч)</t>
  </si>
  <si>
    <t>Реакт. Энергия (кварч)</t>
  </si>
  <si>
    <t>Отчет о потребленной электроэнергии</t>
  </si>
  <si>
    <t>Трансформаторная подстанция</t>
  </si>
  <si>
    <t>Ввод 1</t>
  </si>
  <si>
    <t>Отчетный период</t>
  </si>
  <si>
    <t>Показания счетчика</t>
  </si>
  <si>
    <t>Акт. энергия (кВтч)</t>
  </si>
  <si>
    <t>Реакт. энергия (квар.ч)</t>
  </si>
  <si>
    <t>Разница</t>
  </si>
  <si>
    <t>ИТОГО по заводу</t>
  </si>
  <si>
    <t>ИТОГО по ГРЩ-Q1</t>
  </si>
  <si>
    <t>ИТОГО по ГРЩ-Q2</t>
  </si>
  <si>
    <t>ИТОГО по ГРЩ-Q3</t>
  </si>
  <si>
    <t>ИТОГО по ГРЩ</t>
  </si>
  <si>
    <t>Ввод 2</t>
  </si>
  <si>
    <t>Ввод 3</t>
  </si>
  <si>
    <t>ГРЩ-Q1</t>
  </si>
  <si>
    <t>Компрессор высокого давления 1</t>
  </si>
  <si>
    <t>Линия заварного чая</t>
  </si>
  <si>
    <t>Компрессор высокого давления 2</t>
  </si>
  <si>
    <t>Помещение для сиропа и водоподготовка сиропной комнаты</t>
  </si>
  <si>
    <t>ГРЩ-Q2</t>
  </si>
  <si>
    <t>Компрессор высокого давления 3</t>
  </si>
  <si>
    <t>Линия 1</t>
  </si>
  <si>
    <t>Бойлер</t>
  </si>
  <si>
    <t>Холодильник 2</t>
  </si>
  <si>
    <t>Холодильник 1</t>
  </si>
  <si>
    <t>Линия 3</t>
  </si>
  <si>
    <t>ГРЩ-Q3</t>
  </si>
  <si>
    <t>Линия 2</t>
  </si>
  <si>
    <t>Насосная станция 1. Градирни</t>
  </si>
  <si>
    <t>Компрессор высокого давления 4</t>
  </si>
  <si>
    <t>Компрессора низкого давления</t>
  </si>
  <si>
    <t>A1_PAC3200</t>
  </si>
  <si>
    <t>A2_PAC3200</t>
  </si>
  <si>
    <t>A3_PAC3200</t>
  </si>
  <si>
    <t>1Q11_PAC3200</t>
  </si>
  <si>
    <t>1Q12_PAC3200</t>
  </si>
  <si>
    <t>1Q21_PAC3200</t>
  </si>
  <si>
    <t>1Q22_PAC3200</t>
  </si>
  <si>
    <t>2Q11_PAC3200</t>
  </si>
  <si>
    <t>2Q12_PAC3200</t>
  </si>
  <si>
    <t>2Q21_PAC3200</t>
  </si>
  <si>
    <t>2Q22_PAC3200</t>
  </si>
  <si>
    <t>2Q23_PAC3200</t>
  </si>
  <si>
    <t>2Q24_PAC3200</t>
  </si>
  <si>
    <t>3Q11_PAC3200</t>
  </si>
  <si>
    <t>3Q12_PAC3200</t>
  </si>
  <si>
    <t>3Q21_PAC3200</t>
  </si>
  <si>
    <t>3Q22_PAC3200</t>
  </si>
  <si>
    <t>3Q23_PAC3200</t>
  </si>
  <si>
    <t>Реакт. Энергия (варч)</t>
  </si>
  <si>
    <t>Акт. Энергия (Втч)</t>
  </si>
  <si>
    <t>Минимум</t>
  </si>
  <si>
    <t>Максимум</t>
  </si>
  <si>
    <t>Сумма</t>
  </si>
  <si>
    <t>Отчет по расходу электроэнергии</t>
  </si>
  <si>
    <t>Потреблено за сутки</t>
  </si>
  <si>
    <t>кВтч</t>
  </si>
  <si>
    <t>квар.ч</t>
  </si>
  <si>
    <t>1Q21</t>
  </si>
  <si>
    <t>1Q22</t>
  </si>
  <si>
    <t>1Q12</t>
  </si>
  <si>
    <t>1Q11</t>
  </si>
  <si>
    <t>2Q11</t>
  </si>
  <si>
    <t>2Q12</t>
  </si>
  <si>
    <t>2Q21</t>
  </si>
  <si>
    <t>2Q22</t>
  </si>
  <si>
    <t>2Q23</t>
  </si>
  <si>
    <t>3Q11</t>
  </si>
  <si>
    <t>3Q12</t>
  </si>
  <si>
    <t>3Q21</t>
  </si>
  <si>
    <t>3Q22</t>
  </si>
  <si>
    <t>3Q23</t>
  </si>
  <si>
    <t>2Q24</t>
  </si>
  <si>
    <t>Квас</t>
  </si>
  <si>
    <t>ЛОС</t>
  </si>
  <si>
    <t>Шкаф управления ШУ1</t>
  </si>
  <si>
    <t>ЩУ Ввод 1</t>
  </si>
  <si>
    <t>ЩУ Ввод 2</t>
  </si>
  <si>
    <t>ИТОГО по ЛОС</t>
  </si>
  <si>
    <t>ВРЩ КНС Ввод 1</t>
  </si>
  <si>
    <t>ШУ4 воздуходувка биореактора</t>
  </si>
  <si>
    <t>Шкаф управления ШУ4</t>
  </si>
  <si>
    <t>Шкаф управления ШУ7</t>
  </si>
  <si>
    <t>ШР1 Ввод 1</t>
  </si>
  <si>
    <t>ШУ13 воздуходувка мембран</t>
  </si>
  <si>
    <t>ШУ9 центрифуги</t>
  </si>
  <si>
    <t>ИТОГО по Вводу 1</t>
  </si>
  <si>
    <t>ВРЩ КНС Ввод 2</t>
  </si>
  <si>
    <t>ШУ5 воздуходувка биореактора</t>
  </si>
  <si>
    <t>ШУ6 воздуходувка биореактора</t>
  </si>
  <si>
    <t>ШР1 Ввод 2</t>
  </si>
  <si>
    <t>ШУ14 воздуходувка мембран</t>
  </si>
  <si>
    <t>ИТОГО по Вводу 2</t>
  </si>
  <si>
    <t>ИТОГО по ЩУ ЛОС</t>
  </si>
  <si>
    <t>ВРЩ-1 АБК</t>
  </si>
  <si>
    <t>ИТОГО по ВРЩ-1</t>
  </si>
  <si>
    <t>ВРЩ-2 АБК</t>
  </si>
  <si>
    <t>ИТОГО по ВРЩ-2</t>
  </si>
  <si>
    <t>ИТОГО по АБК</t>
  </si>
  <si>
    <t>ЩУ-2СК</t>
  </si>
  <si>
    <t>ИТОГО по ЩУ-2СК</t>
  </si>
  <si>
    <t>Квасное производство</t>
  </si>
  <si>
    <t>ИТОГО</t>
  </si>
  <si>
    <t>СГП</t>
  </si>
  <si>
    <t>Водоподготовка</t>
  </si>
  <si>
    <t>Узел водоподготовки</t>
  </si>
  <si>
    <t>Производство</t>
  </si>
  <si>
    <t>Купажное отделение</t>
  </si>
  <si>
    <t>ВРУ НПС</t>
  </si>
  <si>
    <t>ИТОГО по СГП</t>
  </si>
  <si>
    <t>ГРЩ-5000</t>
  </si>
  <si>
    <t>кВАч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</si>
</sst>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.mm\.yyyy\ hh:mm"/>
    <numFmt numFmtId="165" formatCode="##0.0\ &quot;В&quot;"/>
    <numFmt numFmtId="166" formatCode="##0.00\ &quot;%&quot;"/>
    <numFmt numFmtId="167" formatCode="##0.00\ &quot;A&quot;"/>
    <numFmt numFmtId="168" formatCode="######0.0\ &quot;ВА&quot;"/>
    <numFmt numFmtId="169" formatCode="######0.0\ &quot;Вт&quot;"/>
    <numFmt numFmtId="170" formatCode="######0.0\ &quot;вар&quot;"/>
    <numFmt numFmtId="171" formatCode="0.000"/>
    <numFmt numFmtId="172" formatCode="##0.00\ &quot;Гц&quot;"/>
    <numFmt numFmtId="173" formatCode="#######0.0"/>
    <numFmt numFmtId="174" formatCode="######0.0"/>
    <numFmt numFmtId="175" formatCode="0.0"/>
  </numFmts>
  <fonts count="1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6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9"/>
      <name val="Arial"/>
      <family val="2"/>
      <charset val="204"/>
    </font>
    <font>
      <sz val="10"/>
      <name val="Arial"/>
      <family val="2"/>
    </font>
    <font>
      <sz val="10"/>
      <name val="Arial"/>
      <family val="2"/>
      <charset val="204"/>
    </font>
    <font>
      <sz val="16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i/>
      <sz val="11"/>
      <name val="Arial"/>
      <family val="2"/>
    </font>
    <font>
      <b/>
      <sz val="10"/>
      <color rgb="FF0070C0"/>
      <name val="Arial"/>
      <family val="2"/>
    </font>
    <font>
      <b/>
      <sz val="11"/>
      <color rgb="FFFF0000"/>
      <name val="Arial"/>
      <family val="2"/>
    </font>
    <font>
      <sz val="10"/>
      <name val="Arial"/>
      <family val="2"/>
      <charset val="204"/>
    </font>
    <font>
      <b/>
      <sz val="14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17" fillId="0" borderId="0"/>
  </cellStyleXfs>
  <cellXfs count="87">
    <xf numFmtId="0" fontId="0" fillId="0" borderId="0" xfId="0"/>
    <xf numFmtId="0" fontId="2" fillId="0" borderId="0" xfId="1" applyFont="1" applyBorder="1" applyAlignment="1" applyProtection="1">
      <alignment horizontal="left" vertical="top"/>
    </xf>
    <xf numFmtId="0" fontId="2" fillId="0" borderId="0" xfId="1" applyFont="1" applyBorder="1" applyAlignment="1" applyProtection="1">
      <alignment horizontal="center" vertical="top"/>
    </xf>
    <xf numFmtId="0" fontId="3" fillId="0" borderId="0" xfId="1" applyFont="1" applyAlignment="1" applyProtection="1">
      <alignment horizontal="center"/>
    </xf>
    <xf numFmtId="0" fontId="4" fillId="0" borderId="1" xfId="1" applyFont="1" applyBorder="1" applyAlignment="1" applyProtection="1">
      <alignment horizontal="left"/>
    </xf>
    <xf numFmtId="0" fontId="3" fillId="0" borderId="0" xfId="1" applyFont="1" applyAlignment="1" applyProtection="1">
      <alignment horizontal="center" vertical="center"/>
    </xf>
    <xf numFmtId="0" fontId="4" fillId="0" borderId="2" xfId="1" applyFont="1" applyBorder="1" applyAlignment="1" applyProtection="1">
      <alignment horizontal="left"/>
    </xf>
    <xf numFmtId="0" fontId="6" fillId="0" borderId="0" xfId="1" applyFont="1" applyProtection="1"/>
    <xf numFmtId="0" fontId="4" fillId="0" borderId="2" xfId="1" applyFont="1" applyBorder="1" applyAlignment="1" applyProtection="1">
      <alignment horizontal="left" wrapText="1"/>
    </xf>
    <xf numFmtId="0" fontId="4" fillId="0" borderId="0" xfId="1" applyFont="1" applyAlignment="1" applyProtection="1">
      <alignment horizontal="left" vertical="top" wrapText="1"/>
    </xf>
    <xf numFmtId="0" fontId="4" fillId="0" borderId="3" xfId="1" applyFont="1" applyBorder="1" applyAlignment="1" applyProtection="1">
      <alignment horizontal="left"/>
    </xf>
    <xf numFmtId="0" fontId="4" fillId="0" borderId="0" xfId="1" applyFont="1" applyAlignment="1" applyProtection="1">
      <alignment horizontal="center"/>
    </xf>
    <xf numFmtId="164" fontId="6" fillId="0" borderId="3" xfId="1" applyNumberFormat="1" applyFont="1" applyBorder="1" applyAlignment="1" applyProtection="1">
      <alignment horizontal="left"/>
    </xf>
    <xf numFmtId="165" fontId="6" fillId="2" borderId="4" xfId="2" applyNumberFormat="1" applyFill="1" applyBorder="1" applyProtection="1"/>
    <xf numFmtId="166" fontId="7" fillId="0" borderId="4" xfId="1" applyNumberFormat="1" applyFont="1" applyBorder="1" applyProtection="1"/>
    <xf numFmtId="167" fontId="7" fillId="0" borderId="4" xfId="1" applyNumberFormat="1" applyFont="1" applyBorder="1" applyProtection="1"/>
    <xf numFmtId="168" fontId="6" fillId="2" borderId="4" xfId="2" applyNumberFormat="1" applyFill="1" applyBorder="1" applyProtection="1"/>
    <xf numFmtId="169" fontId="6" fillId="2" borderId="4" xfId="2" applyNumberFormat="1" applyFill="1" applyBorder="1" applyProtection="1"/>
    <xf numFmtId="170" fontId="6" fillId="2" borderId="4" xfId="2" applyNumberFormat="1" applyFill="1" applyBorder="1" applyProtection="1"/>
    <xf numFmtId="171" fontId="7" fillId="0" borderId="4" xfId="1" applyNumberFormat="1" applyFont="1" applyBorder="1" applyProtection="1"/>
    <xf numFmtId="172" fontId="6" fillId="2" borderId="4" xfId="2" applyNumberFormat="1" applyFill="1" applyBorder="1" applyProtection="1"/>
    <xf numFmtId="0" fontId="1" fillId="0" borderId="0" xfId="1" applyProtection="1"/>
    <xf numFmtId="0" fontId="7" fillId="0" borderId="0" xfId="1" applyFont="1" applyProtection="1"/>
    <xf numFmtId="0" fontId="2" fillId="0" borderId="5" xfId="1" applyFont="1" applyBorder="1" applyAlignment="1" applyProtection="1">
      <alignment horizontal="left"/>
    </xf>
    <xf numFmtId="0" fontId="8" fillId="0" borderId="5" xfId="1" applyFont="1" applyBorder="1" applyProtection="1"/>
    <xf numFmtId="0" fontId="1" fillId="0" borderId="0" xfId="1"/>
    <xf numFmtId="0" fontId="9" fillId="0" borderId="2" xfId="1" applyFont="1" applyBorder="1" applyAlignment="1" applyProtection="1">
      <alignment horizontal="left" vertical="top"/>
    </xf>
    <xf numFmtId="0" fontId="9" fillId="0" borderId="0" xfId="1" applyFont="1"/>
    <xf numFmtId="0" fontId="9" fillId="0" borderId="0" xfId="1" applyFont="1" applyBorder="1"/>
    <xf numFmtId="0" fontId="9" fillId="0" borderId="0" xfId="1" applyFont="1" applyBorder="1" applyAlignment="1" applyProtection="1">
      <alignment horizontal="left"/>
    </xf>
    <xf numFmtId="0" fontId="9" fillId="0" borderId="3" xfId="1" applyFont="1" applyBorder="1" applyAlignment="1" applyProtection="1">
      <alignment horizontal="left"/>
    </xf>
    <xf numFmtId="0" fontId="10" fillId="0" borderId="5" xfId="1" applyFont="1" applyBorder="1" applyAlignment="1" applyProtection="1">
      <alignment horizontal="left"/>
    </xf>
    <xf numFmtId="0" fontId="1" fillId="0" borderId="5" xfId="1" applyBorder="1" applyProtection="1"/>
    <xf numFmtId="0" fontId="11" fillId="0" borderId="0" xfId="1" applyFont="1" applyAlignment="1"/>
    <xf numFmtId="0" fontId="12" fillId="0" borderId="4" xfId="1" applyFont="1" applyBorder="1" applyAlignment="1" applyProtection="1">
      <alignment vertical="center"/>
    </xf>
    <xf numFmtId="173" fontId="6" fillId="0" borderId="13" xfId="2" applyNumberFormat="1" applyBorder="1" applyProtection="1"/>
    <xf numFmtId="174" fontId="6" fillId="0" borderId="14" xfId="2" applyNumberFormat="1" applyBorder="1" applyProtection="1"/>
    <xf numFmtId="0" fontId="12" fillId="0" borderId="12" xfId="1" applyNumberFormat="1" applyFont="1" applyBorder="1" applyProtection="1"/>
    <xf numFmtId="22" fontId="3" fillId="0" borderId="6" xfId="1" applyNumberFormat="1" applyFont="1" applyBorder="1" applyAlignment="1" applyProtection="1"/>
    <xf numFmtId="0" fontId="13" fillId="0" borderId="5" xfId="0" applyFont="1" applyBorder="1" applyAlignment="1" applyProtection="1">
      <alignment horizontal="left"/>
    </xf>
    <xf numFmtId="0" fontId="0" fillId="0" borderId="5" xfId="0" applyBorder="1" applyProtection="1"/>
    <xf numFmtId="0" fontId="3" fillId="0" borderId="0" xfId="0" applyFont="1" applyProtection="1"/>
    <xf numFmtId="22" fontId="3" fillId="0" borderId="6" xfId="0" applyNumberFormat="1" applyFont="1" applyBorder="1" applyAlignment="1" applyProtection="1"/>
    <xf numFmtId="0" fontId="0" fillId="0" borderId="0" xfId="0" applyProtection="1"/>
    <xf numFmtId="0" fontId="14" fillId="0" borderId="0" xfId="0" applyFont="1" applyProtection="1"/>
    <xf numFmtId="0" fontId="12" fillId="0" borderId="4" xfId="0" applyFont="1" applyBorder="1" applyProtection="1"/>
    <xf numFmtId="22" fontId="0" fillId="0" borderId="4" xfId="0" applyNumberFormat="1" applyBorder="1" applyProtection="1"/>
    <xf numFmtId="173" fontId="6" fillId="0" borderId="4" xfId="2" applyNumberFormat="1" applyBorder="1" applyProtection="1"/>
    <xf numFmtId="173" fontId="15" fillId="0" borderId="4" xfId="0" applyNumberFormat="1" applyFont="1" applyBorder="1" applyProtection="1"/>
    <xf numFmtId="0" fontId="16" fillId="0" borderId="15" xfId="0" applyFont="1" applyBorder="1" applyProtection="1"/>
    <xf numFmtId="173" fontId="16" fillId="0" borderId="16" xfId="0" applyNumberFormat="1" applyFont="1" applyBorder="1" applyProtection="1"/>
    <xf numFmtId="20" fontId="0" fillId="0" borderId="0" xfId="0" applyNumberFormat="1"/>
    <xf numFmtId="0" fontId="2" fillId="0" borderId="0" xfId="0" applyFont="1" applyBorder="1" applyAlignment="1" applyProtection="1">
      <alignment horizontal="left" vertical="top"/>
    </xf>
    <xf numFmtId="0" fontId="10" fillId="0" borderId="5" xfId="3" applyFont="1" applyBorder="1" applyAlignment="1" applyProtection="1">
      <alignment horizontal="left"/>
    </xf>
    <xf numFmtId="0" fontId="17" fillId="0" borderId="5" xfId="3" applyBorder="1" applyProtection="1"/>
    <xf numFmtId="0" fontId="17" fillId="0" borderId="0" xfId="3"/>
    <xf numFmtId="0" fontId="11" fillId="0" borderId="0" xfId="3" applyFont="1" applyAlignment="1"/>
    <xf numFmtId="0" fontId="11" fillId="0" borderId="0" xfId="3" applyFont="1" applyAlignment="1">
      <alignment horizontal="left"/>
    </xf>
    <xf numFmtId="2" fontId="11" fillId="0" borderId="0" xfId="3" applyNumberFormat="1" applyFont="1" applyAlignment="1"/>
    <xf numFmtId="2" fontId="11" fillId="0" borderId="0" xfId="3" applyNumberFormat="1" applyFont="1" applyAlignment="1">
      <alignment horizontal="right"/>
    </xf>
    <xf numFmtId="0" fontId="18" fillId="0" borderId="0" xfId="3" applyFont="1"/>
    <xf numFmtId="0" fontId="5" fillId="0" borderId="0" xfId="1" applyFont="1" applyBorder="1" applyAlignment="1" applyProtection="1">
      <alignment vertical="center" wrapText="1"/>
    </xf>
    <xf numFmtId="166" fontId="7" fillId="0" borderId="0" xfId="1" applyNumberFormat="1" applyFont="1" applyBorder="1" applyProtection="1"/>
    <xf numFmtId="172" fontId="6" fillId="2" borderId="0" xfId="2" applyNumberFormat="1" applyFill="1" applyBorder="1" applyProtection="1"/>
    <xf numFmtId="175" fontId="6" fillId="2" borderId="0" xfId="2" applyNumberFormat="1" applyFill="1" applyBorder="1" applyProtection="1"/>
    <xf numFmtId="0" fontId="5" fillId="0" borderId="17" xfId="1" applyFont="1" applyBorder="1" applyAlignment="1" applyProtection="1">
      <alignment vertical="center" wrapText="1"/>
    </xf>
    <xf numFmtId="0" fontId="5" fillId="0" borderId="18" xfId="1" applyFont="1" applyBorder="1" applyAlignment="1" applyProtection="1">
      <alignment vertical="center" wrapText="1"/>
    </xf>
    <xf numFmtId="0" fontId="5" fillId="0" borderId="19" xfId="1" applyFont="1" applyBorder="1" applyAlignment="1" applyProtection="1">
      <alignment vertical="center" wrapText="1"/>
    </xf>
    <xf numFmtId="0" fontId="1" fillId="0" borderId="4" xfId="1" applyBorder="1" applyProtection="1"/>
    <xf numFmtId="164" fontId="6" fillId="0" borderId="4" xfId="1" applyNumberFormat="1" applyFont="1" applyBorder="1" applyAlignment="1" applyProtection="1">
      <alignment horizontal="left"/>
    </xf>
    <xf numFmtId="175" fontId="6" fillId="2" borderId="4" xfId="2" applyNumberFormat="1" applyFill="1" applyBorder="1" applyProtection="1"/>
    <xf numFmtId="0" fontId="16" fillId="0" borderId="0" xfId="0" applyFont="1" applyBorder="1" applyProtection="1"/>
    <xf numFmtId="173" fontId="16" fillId="0" borderId="0" xfId="0" applyNumberFormat="1" applyFont="1" applyBorder="1" applyProtection="1"/>
    <xf numFmtId="0" fontId="12" fillId="0" borderId="0" xfId="0" applyFont="1" applyBorder="1" applyProtection="1"/>
    <xf numFmtId="173" fontId="15" fillId="0" borderId="0" xfId="0" applyNumberFormat="1" applyFont="1" applyBorder="1" applyProtection="1"/>
    <xf numFmtId="0" fontId="1" fillId="0" borderId="0" xfId="1" applyBorder="1" applyProtection="1"/>
    <xf numFmtId="0" fontId="12" fillId="0" borderId="7" xfId="1" applyFont="1" applyBorder="1" applyAlignment="1" applyProtection="1">
      <alignment horizontal="center" vertical="center"/>
    </xf>
    <xf numFmtId="0" fontId="12" fillId="0" borderId="10" xfId="1" applyFont="1" applyBorder="1" applyAlignment="1" applyProtection="1">
      <alignment horizontal="center" vertical="center"/>
    </xf>
    <xf numFmtId="0" fontId="12" fillId="0" borderId="8" xfId="1" applyFont="1" applyBorder="1" applyAlignment="1" applyProtection="1">
      <alignment horizontal="center" vertical="center"/>
    </xf>
    <xf numFmtId="0" fontId="12" fillId="0" borderId="9" xfId="1" applyFont="1" applyBorder="1" applyAlignment="1" applyProtection="1">
      <alignment horizontal="center" vertical="center"/>
    </xf>
    <xf numFmtId="0" fontId="12" fillId="0" borderId="11" xfId="1" applyFont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/>
    </xf>
    <xf numFmtId="0" fontId="12" fillId="0" borderId="1" xfId="0" applyFont="1" applyBorder="1" applyAlignment="1" applyProtection="1">
      <alignment horizontal="center" vertical="center"/>
    </xf>
    <xf numFmtId="0" fontId="12" fillId="0" borderId="3" xfId="0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 wrapText="1"/>
    </xf>
    <xf numFmtId="0" fontId="5" fillId="0" borderId="2" xfId="1" applyFont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 wrapText="1"/>
    </xf>
  </cellXfs>
  <cellStyles count="4">
    <cellStyle name="Gültig" xfId="2"/>
    <cellStyle name="Обычный" xfId="0" builtinId="0"/>
    <cellStyle name="Обычный 2" xfId="1"/>
    <cellStyle name="Обычный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Суточный отчёт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823840"/>
        <c:axId val="423822272"/>
      </c:barChart>
      <c:catAx>
        <c:axId val="423823840"/>
        <c:scaling>
          <c:orientation val="minMax"/>
        </c:scaling>
        <c:delete val="0"/>
        <c:axPos val="b"/>
        <c:numFmt formatCode="dd\.mm\.yyyy\ hh:mm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22272"/>
        <c:crosses val="autoZero"/>
        <c:auto val="1"/>
        <c:lblAlgn val="ctr"/>
        <c:lblOffset val="100"/>
        <c:noMultiLvlLbl val="0"/>
      </c:catAx>
      <c:valAx>
        <c:axId val="423822272"/>
        <c:scaling>
          <c:orientation val="minMax"/>
        </c:scaling>
        <c:delete val="0"/>
        <c:axPos val="l"/>
        <c:majorGridlines/>
        <c:numFmt formatCode="##0.00\ &quot;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23840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Суточный отчёт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822664"/>
        <c:axId val="423821880"/>
      </c:barChart>
      <c:catAx>
        <c:axId val="423822664"/>
        <c:scaling>
          <c:orientation val="minMax"/>
        </c:scaling>
        <c:delete val="0"/>
        <c:axPos val="b"/>
        <c:numFmt formatCode="dd\.mm\.yyyy\ hh:mm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21880"/>
        <c:crosses val="autoZero"/>
        <c:auto val="1"/>
        <c:lblAlgn val="ctr"/>
        <c:lblOffset val="100"/>
        <c:noMultiLvlLbl val="0"/>
      </c:catAx>
      <c:valAx>
        <c:axId val="423821880"/>
        <c:scaling>
          <c:orientation val="minMax"/>
        </c:scaling>
        <c:delete val="0"/>
        <c:axPos val="l"/>
        <c:majorGridlines/>
        <c:numFmt formatCode="##0.00\ &quot;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22664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Суточный отчёт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821096"/>
        <c:axId val="423820704"/>
      </c:barChart>
      <c:catAx>
        <c:axId val="423821096"/>
        <c:scaling>
          <c:orientation val="minMax"/>
        </c:scaling>
        <c:delete val="0"/>
        <c:axPos val="b"/>
        <c:numFmt formatCode="dd\.mm\.yyyy\ hh:mm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20704"/>
        <c:crosses val="autoZero"/>
        <c:auto val="1"/>
        <c:lblAlgn val="ctr"/>
        <c:lblOffset val="100"/>
        <c:noMultiLvlLbl val="0"/>
      </c:catAx>
      <c:valAx>
        <c:axId val="423820704"/>
        <c:scaling>
          <c:orientation val="minMax"/>
        </c:scaling>
        <c:delete val="0"/>
        <c:axPos val="l"/>
        <c:majorGridlines/>
        <c:numFmt formatCode="##0.00\ &quot;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21096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819920"/>
        <c:axId val="423819528"/>
      </c:barChart>
      <c:catAx>
        <c:axId val="42381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19528"/>
        <c:crosses val="autoZero"/>
        <c:auto val="1"/>
        <c:lblAlgn val="ctr"/>
        <c:lblOffset val="100"/>
        <c:noMultiLvlLbl val="0"/>
      </c:catAx>
      <c:valAx>
        <c:axId val="423819528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19920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818744"/>
        <c:axId val="423818352"/>
      </c:barChart>
      <c:catAx>
        <c:axId val="423818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18352"/>
        <c:crosses val="autoZero"/>
        <c:auto val="1"/>
        <c:lblAlgn val="ctr"/>
        <c:lblOffset val="100"/>
        <c:noMultiLvlLbl val="0"/>
      </c:catAx>
      <c:valAx>
        <c:axId val="423818352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18744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3817568"/>
        <c:axId val="423817176"/>
      </c:barChart>
      <c:catAx>
        <c:axId val="42381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17176"/>
        <c:crosses val="autoZero"/>
        <c:auto val="1"/>
        <c:lblAlgn val="ctr"/>
        <c:lblOffset val="100"/>
        <c:noMultiLvlLbl val="0"/>
      </c:catAx>
      <c:valAx>
        <c:axId val="423817176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23817568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9976840"/>
        <c:axId val="239977232"/>
      </c:barChart>
      <c:catAx>
        <c:axId val="23997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9977232"/>
        <c:crosses val="autoZero"/>
        <c:auto val="1"/>
        <c:lblAlgn val="ctr"/>
        <c:lblOffset val="100"/>
        <c:noMultiLvlLbl val="0"/>
      </c:catAx>
      <c:valAx>
        <c:axId val="239977232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9976840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9976056"/>
        <c:axId val="239977624"/>
      </c:barChart>
      <c:catAx>
        <c:axId val="239976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9977624"/>
        <c:crosses val="autoZero"/>
        <c:auto val="1"/>
        <c:lblAlgn val="ctr"/>
        <c:lblOffset val="100"/>
        <c:noMultiLvlLbl val="0"/>
      </c:catAx>
      <c:valAx>
        <c:axId val="239977624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9976056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9978800"/>
        <c:axId val="239979192"/>
      </c:barChart>
      <c:catAx>
        <c:axId val="23997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9979192"/>
        <c:crosses val="autoZero"/>
        <c:auto val="1"/>
        <c:lblAlgn val="ctr"/>
        <c:lblOffset val="100"/>
        <c:noMultiLvlLbl val="0"/>
      </c:catAx>
      <c:valAx>
        <c:axId val="239979192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9978800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3644576"/>
        <c:axId val="233644184"/>
      </c:barChart>
      <c:catAx>
        <c:axId val="2336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3644184"/>
        <c:crosses val="autoZero"/>
        <c:auto val="1"/>
        <c:lblAlgn val="ctr"/>
        <c:lblOffset val="100"/>
        <c:noMultiLvlLbl val="0"/>
      </c:catAx>
      <c:valAx>
        <c:axId val="233644184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3644576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3643008"/>
        <c:axId val="233641440"/>
      </c:barChart>
      <c:catAx>
        <c:axId val="23364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3641440"/>
        <c:crosses val="autoZero"/>
        <c:auto val="1"/>
        <c:lblAlgn val="ctr"/>
        <c:lblOffset val="100"/>
        <c:noMultiLvlLbl val="0"/>
      </c:catAx>
      <c:valAx>
        <c:axId val="233641440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3643008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992760"/>
        <c:axId val="234992368"/>
      </c:barChart>
      <c:catAx>
        <c:axId val="234992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992368"/>
        <c:crosses val="autoZero"/>
        <c:auto val="1"/>
        <c:lblAlgn val="ctr"/>
        <c:lblOffset val="100"/>
        <c:noMultiLvlLbl val="0"/>
      </c:catAx>
      <c:valAx>
        <c:axId val="234992368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992760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995112"/>
        <c:axId val="234994720"/>
      </c:barChart>
      <c:catAx>
        <c:axId val="234995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994720"/>
        <c:crosses val="autoZero"/>
        <c:auto val="1"/>
        <c:lblAlgn val="ctr"/>
        <c:lblOffset val="100"/>
        <c:noMultiLvlLbl val="0"/>
      </c:catAx>
      <c:valAx>
        <c:axId val="234994720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995112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993936"/>
        <c:axId val="234808328"/>
      </c:barChart>
      <c:catAx>
        <c:axId val="2349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808328"/>
        <c:crosses val="autoZero"/>
        <c:auto val="1"/>
        <c:lblAlgn val="ctr"/>
        <c:lblOffset val="100"/>
        <c:noMultiLvlLbl val="0"/>
      </c:catAx>
      <c:valAx>
        <c:axId val="234808328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993936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807152"/>
        <c:axId val="234810288"/>
      </c:barChart>
      <c:catAx>
        <c:axId val="23480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810288"/>
        <c:crosses val="autoZero"/>
        <c:auto val="1"/>
        <c:lblAlgn val="ctr"/>
        <c:lblOffset val="100"/>
        <c:noMultiLvlLbl val="0"/>
      </c:catAx>
      <c:valAx>
        <c:axId val="234810288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807152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4806760"/>
        <c:axId val="234807936"/>
      </c:barChart>
      <c:catAx>
        <c:axId val="234806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807936"/>
        <c:crosses val="autoZero"/>
        <c:auto val="1"/>
        <c:lblAlgn val="ctr"/>
        <c:lblOffset val="100"/>
        <c:noMultiLvlLbl val="0"/>
      </c:catAx>
      <c:valAx>
        <c:axId val="234807936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4806760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093904"/>
        <c:axId val="164092728"/>
      </c:barChart>
      <c:catAx>
        <c:axId val="16409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64092728"/>
        <c:crosses val="autoZero"/>
        <c:auto val="1"/>
        <c:lblAlgn val="ctr"/>
        <c:lblOffset val="100"/>
        <c:noMultiLvlLbl val="0"/>
      </c:catAx>
      <c:valAx>
        <c:axId val="164092728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64093904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096256"/>
        <c:axId val="164094688"/>
      </c:barChart>
      <c:catAx>
        <c:axId val="16409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64094688"/>
        <c:crosses val="autoZero"/>
        <c:auto val="1"/>
        <c:lblAlgn val="ctr"/>
        <c:lblOffset val="100"/>
        <c:noMultiLvlLbl val="0"/>
      </c:catAx>
      <c:valAx>
        <c:axId val="164094688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64096256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</a:t>
            </a:r>
            <a:r>
              <a:rPr lang="en-US"/>
              <a:t>1</a:t>
            </a:r>
            <a:r>
              <a:rPr lang="ru-RU"/>
              <a:t> по напряжению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6206184"/>
        <c:axId val="236207752"/>
      </c:barChart>
      <c:catAx>
        <c:axId val="236206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6207752"/>
        <c:crosses val="autoZero"/>
        <c:auto val="1"/>
        <c:lblAlgn val="ctr"/>
        <c:lblOffset val="100"/>
        <c:noMultiLvlLbl val="0"/>
      </c:catAx>
      <c:valAx>
        <c:axId val="236207752"/>
        <c:scaling>
          <c:orientation val="minMax"/>
        </c:scaling>
        <c:delete val="0"/>
        <c:axPos val="l"/>
        <c:majorGridlines/>
        <c:numFmt formatCode="##0.00\ &quot;кВ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6206184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Отчет по току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207360"/>
        <c:axId val="417099376"/>
      </c:lineChart>
      <c:catAx>
        <c:axId val="23620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17099376"/>
        <c:crosses val="autoZero"/>
        <c:auto val="1"/>
        <c:lblAlgn val="ctr"/>
        <c:lblOffset val="100"/>
        <c:tickMarkSkip val="1"/>
        <c:noMultiLvlLbl val="0"/>
      </c:catAx>
      <c:valAx>
        <c:axId val="417099376"/>
        <c:scaling>
          <c:orientation val="minMax"/>
        </c:scaling>
        <c:delete val="0"/>
        <c:axPos val="l"/>
        <c:majorGridlines/>
        <c:numFmt formatCode="##0.00\ &quot;%&quot;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620736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Мощность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00160"/>
        <c:axId val="417098984"/>
      </c:lineChart>
      <c:catAx>
        <c:axId val="41710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17098984"/>
        <c:crosses val="autoZero"/>
        <c:auto val="1"/>
        <c:lblAlgn val="ctr"/>
        <c:lblOffset val="100"/>
        <c:tickMarkSkip val="1"/>
        <c:noMultiLvlLbl val="0"/>
      </c:catAx>
      <c:valAx>
        <c:axId val="417098984"/>
        <c:scaling>
          <c:orientation val="minMax"/>
        </c:scaling>
        <c:delete val="0"/>
        <c:axPos val="l"/>
        <c:majorGridlines/>
        <c:numFmt formatCode="##0.00\ &quot;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417100160"/>
        <c:crosses val="autoZero"/>
        <c:crossBetween val="between"/>
        <c:dispUnits>
          <c:builtInUnit val="thousands"/>
        </c:dispUnits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144" l="0.70000000000000062" r="0.70000000000000062" t="0.75000000000000144" header="0.30000000000000032" footer="0.30000000000000032"/>
    <c:pageSetup paperSize="9"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мощности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64104"/>
        <c:axId val="235563712"/>
      </c:lineChart>
      <c:catAx>
        <c:axId val="235564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5563712"/>
        <c:crosses val="autoZero"/>
        <c:auto val="1"/>
        <c:lblAlgn val="ctr"/>
        <c:lblOffset val="100"/>
        <c:tickMarkSkip val="1"/>
        <c:noMultiLvlLbl val="0"/>
      </c:catAx>
      <c:valAx>
        <c:axId val="23556371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556410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 verticalDpi="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Частота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65280"/>
        <c:axId val="235564888"/>
      </c:lineChart>
      <c:catAx>
        <c:axId val="23556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5564888"/>
        <c:crosses val="autoZero"/>
        <c:auto val="1"/>
        <c:lblAlgn val="ctr"/>
        <c:lblOffset val="100"/>
        <c:tickMarkSkip val="1"/>
        <c:noMultiLvlLbl val="0"/>
      </c:catAx>
      <c:valAx>
        <c:axId val="235564888"/>
        <c:scaling>
          <c:orientation val="minMax"/>
        </c:scaling>
        <c:delete val="0"/>
        <c:axPos val="l"/>
        <c:majorGridlines/>
        <c:numFmt formatCode="##0.00\ &quot;Гц&quot;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5565280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167" l="0.70000000000000062" r="0.70000000000000062" t="0.75000000000000167" header="0.30000000000000032" footer="0.30000000000000032"/>
    <c:pageSetup paperSize="9" orientation="landscape" verticalDpi="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Искажения по напряжению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826792"/>
        <c:axId val="241826400"/>
      </c:lineChart>
      <c:catAx>
        <c:axId val="241826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41826400"/>
        <c:crosses val="autoZero"/>
        <c:auto val="1"/>
        <c:lblAlgn val="ctr"/>
        <c:lblOffset val="100"/>
        <c:tickMarkSkip val="1"/>
        <c:noMultiLvlLbl val="0"/>
      </c:catAx>
      <c:valAx>
        <c:axId val="241826400"/>
        <c:scaling>
          <c:orientation val="minMax"/>
        </c:scaling>
        <c:delete val="0"/>
        <c:axPos val="l"/>
        <c:majorGridlines/>
        <c:numFmt formatCode="##0.00\ &quot;%&quot;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4182679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167" l="0.70000000000000062" r="0.70000000000000062" t="0.75000000000000167" header="0.30000000000000032" footer="0.30000000000000032"/>
    <c:pageSetup paperSize="9" orientation="landscape" verticalDpi="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Искажения по току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318744"/>
        <c:axId val="237319920"/>
      </c:lineChart>
      <c:catAx>
        <c:axId val="237318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7319920"/>
        <c:crosses val="autoZero"/>
        <c:auto val="1"/>
        <c:lblAlgn val="ctr"/>
        <c:lblOffset val="100"/>
        <c:tickMarkSkip val="1"/>
        <c:noMultiLvlLbl val="0"/>
      </c:catAx>
      <c:valAx>
        <c:axId val="237319920"/>
        <c:scaling>
          <c:orientation val="minMax"/>
        </c:scaling>
        <c:delete val="0"/>
        <c:axPos val="l"/>
        <c:majorGridlines/>
        <c:numFmt formatCode="##0.00\ &quot;%&quot;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3731874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189" l="0.70000000000000062" r="0.70000000000000062" t="0.75000000000000189" header="0.30000000000000032" footer="0.30000000000000032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10</xdr:col>
      <xdr:colOff>86550</xdr:colOff>
      <xdr:row>30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10</xdr:col>
      <xdr:colOff>86550</xdr:colOff>
      <xdr:row>57</xdr:row>
      <xdr:rowOff>76200</xdr:rowOff>
    </xdr:to>
    <xdr:graphicFrame macro="">
      <xdr:nvGraphicFramePr>
        <xdr:cNvPr id="7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10</xdr:col>
      <xdr:colOff>86550</xdr:colOff>
      <xdr:row>84</xdr:row>
      <xdr:rowOff>76200</xdr:rowOff>
    </xdr:to>
    <xdr:graphicFrame macro="">
      <xdr:nvGraphicFramePr>
        <xdr:cNvPr id="10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88</xdr:row>
      <xdr:rowOff>0</xdr:rowOff>
    </xdr:from>
    <xdr:to>
      <xdr:col>10</xdr:col>
      <xdr:colOff>86550</xdr:colOff>
      <xdr:row>112</xdr:row>
      <xdr:rowOff>76200</xdr:rowOff>
    </xdr:to>
    <xdr:graphicFrame macro="">
      <xdr:nvGraphicFramePr>
        <xdr:cNvPr id="6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10</xdr:col>
      <xdr:colOff>86550</xdr:colOff>
      <xdr:row>85</xdr:row>
      <xdr:rowOff>76200</xdr:rowOff>
    </xdr:to>
    <xdr:graphicFrame macro="">
      <xdr:nvGraphicFramePr>
        <xdr:cNvPr id="7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10</xdr:col>
      <xdr:colOff>86550</xdr:colOff>
      <xdr:row>57</xdr:row>
      <xdr:rowOff>76200</xdr:rowOff>
    </xdr:to>
    <xdr:graphicFrame macro="">
      <xdr:nvGraphicFramePr>
        <xdr:cNvPr id="8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10</xdr:col>
      <xdr:colOff>86550</xdr:colOff>
      <xdr:row>30</xdr:row>
      <xdr:rowOff>76200</xdr:rowOff>
    </xdr:to>
    <xdr:graphicFrame macro="">
      <xdr:nvGraphicFramePr>
        <xdr:cNvPr id="9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10</xdr:col>
      <xdr:colOff>86550</xdr:colOff>
      <xdr:row>30</xdr:row>
      <xdr:rowOff>76200</xdr:rowOff>
    </xdr:to>
    <xdr:graphicFrame macro="">
      <xdr:nvGraphicFramePr>
        <xdr:cNvPr id="10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10</xdr:col>
      <xdr:colOff>86550</xdr:colOff>
      <xdr:row>57</xdr:row>
      <xdr:rowOff>76200</xdr:rowOff>
    </xdr:to>
    <xdr:graphicFrame macro="">
      <xdr:nvGraphicFramePr>
        <xdr:cNvPr id="11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10</xdr:col>
      <xdr:colOff>86550</xdr:colOff>
      <xdr:row>85</xdr:row>
      <xdr:rowOff>76200</xdr:rowOff>
    </xdr:to>
    <xdr:graphicFrame macro="">
      <xdr:nvGraphicFramePr>
        <xdr:cNvPr id="12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10</xdr:col>
      <xdr:colOff>86550</xdr:colOff>
      <xdr:row>112</xdr:row>
      <xdr:rowOff>76200</xdr:rowOff>
    </xdr:to>
    <xdr:graphicFrame macro="">
      <xdr:nvGraphicFramePr>
        <xdr:cNvPr id="13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115</xdr:row>
      <xdr:rowOff>0</xdr:rowOff>
    </xdr:from>
    <xdr:to>
      <xdr:col>10</xdr:col>
      <xdr:colOff>86550</xdr:colOff>
      <xdr:row>139</xdr:row>
      <xdr:rowOff>76200</xdr:rowOff>
    </xdr:to>
    <xdr:graphicFrame macro="">
      <xdr:nvGraphicFramePr>
        <xdr:cNvPr id="14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10</xdr:col>
      <xdr:colOff>86550</xdr:colOff>
      <xdr:row>166</xdr:row>
      <xdr:rowOff>76200</xdr:rowOff>
    </xdr:to>
    <xdr:graphicFrame macro="">
      <xdr:nvGraphicFramePr>
        <xdr:cNvPr id="15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115</xdr:row>
      <xdr:rowOff>0</xdr:rowOff>
    </xdr:from>
    <xdr:to>
      <xdr:col>10</xdr:col>
      <xdr:colOff>86550</xdr:colOff>
      <xdr:row>139</xdr:row>
      <xdr:rowOff>76200</xdr:rowOff>
    </xdr:to>
    <xdr:graphicFrame macro="">
      <xdr:nvGraphicFramePr>
        <xdr:cNvPr id="7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10</xdr:col>
      <xdr:colOff>86550</xdr:colOff>
      <xdr:row>112</xdr:row>
      <xdr:rowOff>76200</xdr:rowOff>
    </xdr:to>
    <xdr:graphicFrame macro="">
      <xdr:nvGraphicFramePr>
        <xdr:cNvPr id="8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61</xdr:row>
      <xdr:rowOff>0</xdr:rowOff>
    </xdr:from>
    <xdr:to>
      <xdr:col>10</xdr:col>
      <xdr:colOff>86550</xdr:colOff>
      <xdr:row>85</xdr:row>
      <xdr:rowOff>76200</xdr:rowOff>
    </xdr:to>
    <xdr:graphicFrame macro="">
      <xdr:nvGraphicFramePr>
        <xdr:cNvPr id="9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10</xdr:col>
      <xdr:colOff>86550</xdr:colOff>
      <xdr:row>57</xdr:row>
      <xdr:rowOff>76200</xdr:rowOff>
    </xdr:to>
    <xdr:graphicFrame macro="">
      <xdr:nvGraphicFramePr>
        <xdr:cNvPr id="10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10</xdr:col>
      <xdr:colOff>86550</xdr:colOff>
      <xdr:row>30</xdr:row>
      <xdr:rowOff>76200</xdr:rowOff>
    </xdr:to>
    <xdr:graphicFrame macro="">
      <xdr:nvGraphicFramePr>
        <xdr:cNvPr id="11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11</xdr:row>
      <xdr:rowOff>152400</xdr:rowOff>
    </xdr:from>
    <xdr:to>
      <xdr:col>12</xdr:col>
      <xdr:colOff>561975</xdr:colOff>
      <xdr:row>36</xdr:row>
      <xdr:rowOff>66675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37</xdr:row>
      <xdr:rowOff>47625</xdr:rowOff>
    </xdr:from>
    <xdr:to>
      <xdr:col>12</xdr:col>
      <xdr:colOff>571500</xdr:colOff>
      <xdr:row>61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62</xdr:row>
      <xdr:rowOff>123825</xdr:rowOff>
    </xdr:from>
    <xdr:to>
      <xdr:col>12</xdr:col>
      <xdr:colOff>571500</xdr:colOff>
      <xdr:row>87</xdr:row>
      <xdr:rowOff>38100</xdr:rowOff>
    </xdr:to>
    <xdr:graphicFrame macro="">
      <xdr:nvGraphicFramePr>
        <xdr:cNvPr id="4" name="Chart 2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304800</xdr:colOff>
      <xdr:row>94</xdr:row>
      <xdr:rowOff>142875</xdr:rowOff>
    </xdr:from>
    <xdr:to>
      <xdr:col>12</xdr:col>
      <xdr:colOff>542925</xdr:colOff>
      <xdr:row>119</xdr:row>
      <xdr:rowOff>47625</xdr:rowOff>
    </xdr:to>
    <xdr:graphicFrame macro="">
      <xdr:nvGraphicFramePr>
        <xdr:cNvPr id="5" name="Chart 2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304800</xdr:colOff>
      <xdr:row>120</xdr:row>
      <xdr:rowOff>47625</xdr:rowOff>
    </xdr:from>
    <xdr:to>
      <xdr:col>12</xdr:col>
      <xdr:colOff>542925</xdr:colOff>
      <xdr:row>144</xdr:row>
      <xdr:rowOff>133350</xdr:rowOff>
    </xdr:to>
    <xdr:graphicFrame macro="">
      <xdr:nvGraphicFramePr>
        <xdr:cNvPr id="6" name="Chart 2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371475</xdr:colOff>
      <xdr:row>173</xdr:row>
      <xdr:rowOff>66675</xdr:rowOff>
    </xdr:from>
    <xdr:to>
      <xdr:col>13</xdr:col>
      <xdr:colOff>9525</xdr:colOff>
      <xdr:row>197</xdr:row>
      <xdr:rowOff>142875</xdr:rowOff>
    </xdr:to>
    <xdr:graphicFrame macro="">
      <xdr:nvGraphicFramePr>
        <xdr:cNvPr id="7" name="Chart 2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371475</xdr:colOff>
      <xdr:row>198</xdr:row>
      <xdr:rowOff>142875</xdr:rowOff>
    </xdr:from>
    <xdr:to>
      <xdr:col>13</xdr:col>
      <xdr:colOff>9525</xdr:colOff>
      <xdr:row>223</xdr:row>
      <xdr:rowOff>57150</xdr:rowOff>
    </xdr:to>
    <xdr:graphicFrame macro="">
      <xdr:nvGraphicFramePr>
        <xdr:cNvPr id="8" name="Chart 2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Downloads/DayEnergy_Q11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Downloads/GlobalEnergyReport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figuration"/>
      <sheetName val="Std"/>
      <sheetName val="Sheet1"/>
    </sheetNames>
    <sheetDataSet>
      <sheetData sheetId="0">
        <row r="6">
          <cell r="B6" t="str">
            <v>Суточный</v>
          </cell>
        </row>
        <row r="7">
          <cell r="B7">
            <v>41491.333333333336</v>
          </cell>
        </row>
        <row r="8">
          <cell r="B8">
            <v>41492.333321759259</v>
          </cell>
        </row>
        <row r="10">
          <cell r="B10">
            <v>3</v>
          </cell>
        </row>
        <row r="16">
          <cell r="B16" t="str">
            <v>Administrator</v>
          </cell>
        </row>
        <row r="17">
          <cell r="B17" t="str">
            <v>Manual</v>
          </cell>
        </row>
      </sheetData>
      <sheetData sheetId="1">
        <row r="28">
          <cell r="B28" t="str">
            <v>08:00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onfiguration"/>
      <sheetName val="Opr"/>
    </sheetNames>
    <sheetDataSet>
      <sheetData sheetId="0">
        <row r="7">
          <cell r="B7">
            <v>41491.333333333336</v>
          </cell>
        </row>
        <row r="8">
          <cell r="B8">
            <v>41492.333321759259</v>
          </cell>
        </row>
        <row r="16">
          <cell r="B16" t="str">
            <v>Administrator</v>
          </cell>
        </row>
        <row r="17">
          <cell r="B17" t="str">
            <v>Manual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A">
    <pageSetUpPr fitToPage="1"/>
  </sheetPr>
  <dimension ref="A1:T42"/>
  <sheetViews>
    <sheetView topLeftCell="A9" zoomScale="115" zoomScaleNormal="115" zoomScaleSheetLayoutView="130" workbookViewId="0">
      <selection activeCell="A9" sqref="A1:A1048576"/>
    </sheetView>
  </sheetViews>
  <sheetFormatPr defaultColWidth="11.42578125" defaultRowHeight="12.75" customHeight="1" x14ac:dyDescent="0.2"/>
  <cols>
    <col min="1" max="1" width="22.7109375" style="21" customWidth="1"/>
    <col min="2" max="20" width="16.7109375" style="21" customWidth="1"/>
    <col min="21" max="16384" width="11.42578125" style="21"/>
  </cols>
  <sheetData>
    <row r="1" spans="1:20" ht="12.75" hidden="1" customHeight="1" x14ac:dyDescent="0.2">
      <c r="A1" s="22" t="s">
        <v>24</v>
      </c>
    </row>
    <row r="2" spans="1:20" ht="12.75" hidden="1" customHeight="1" x14ac:dyDescent="0.2">
      <c r="A2" s="22" t="s">
        <v>25</v>
      </c>
    </row>
    <row r="3" spans="1:20" ht="12.75" hidden="1" customHeight="1" x14ac:dyDescent="0.2">
      <c r="A3" s="22"/>
    </row>
    <row r="4" spans="1:20" ht="12.75" hidden="1" customHeight="1" x14ac:dyDescent="0.2">
      <c r="A4" s="22"/>
    </row>
    <row r="5" spans="1:20" ht="12.75" hidden="1" customHeight="1" x14ac:dyDescent="0.2">
      <c r="A5" s="22"/>
    </row>
    <row r="6" spans="1:20" ht="12.75" hidden="1" customHeight="1" x14ac:dyDescent="0.2">
      <c r="A6" s="22"/>
    </row>
    <row r="7" spans="1:20" ht="12.75" hidden="1" customHeight="1" x14ac:dyDescent="0.2">
      <c r="A7" s="22"/>
    </row>
    <row r="8" spans="1:20" ht="12.75" hidden="1" customHeight="1" x14ac:dyDescent="0.2">
      <c r="A8" s="22"/>
    </row>
    <row r="9" spans="1:20" s="3" customFormat="1" ht="26.25" customHeight="1" x14ac:dyDescent="0.25">
      <c r="A9" s="1" t="s">
        <v>0</v>
      </c>
      <c r="B9" s="1" t="s">
        <v>23</v>
      </c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s="5" customFormat="1" ht="11.25" customHeight="1" x14ac:dyDescent="0.2">
      <c r="A10" s="4"/>
      <c r="B10" s="65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</row>
    <row r="11" spans="1:20" s="7" customFormat="1" ht="12" customHeight="1" x14ac:dyDescent="0.2">
      <c r="A11" s="8" t="str">
        <f>"Начало   " &amp; TEXT(B1,"ДД.ММ.ГГГГ чч:мм")</f>
        <v>Начало   00.01.1900 00:00</v>
      </c>
      <c r="B11" s="66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</row>
    <row r="12" spans="1:20" s="9" customFormat="1" ht="12" customHeight="1" x14ac:dyDescent="0.2">
      <c r="A12" s="6" t="str">
        <f>"Конец     "&amp; TEXT(B2,"ДД.ММ.ГГГГ чч:мм")</f>
        <v>Конец     00.01.1900 00:00</v>
      </c>
      <c r="B12" s="66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</row>
    <row r="13" spans="1:20" s="11" customFormat="1" ht="12" hidden="1" customHeight="1" x14ac:dyDescent="0.2">
      <c r="A13" s="10"/>
      <c r="B13" s="67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</row>
    <row r="14" spans="1:20" s="11" customFormat="1" ht="12" customHeight="1" x14ac:dyDescent="0.2">
      <c r="A14" s="69"/>
      <c r="B14" s="70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3"/>
      <c r="O14" s="62"/>
      <c r="P14" s="62"/>
      <c r="Q14" s="62"/>
      <c r="R14" s="62"/>
      <c r="S14" s="62"/>
      <c r="T14" s="62"/>
    </row>
    <row r="15" spans="1:20" ht="12.75" customHeight="1" x14ac:dyDescent="0.2">
      <c r="A15" s="68"/>
    </row>
    <row r="36" spans="1:3" ht="12.75" customHeight="1" x14ac:dyDescent="0.2">
      <c r="A36" s="75"/>
      <c r="B36" s="75"/>
      <c r="C36" s="75"/>
    </row>
    <row r="37" spans="1:3" ht="12.75" customHeight="1" x14ac:dyDescent="0.2">
      <c r="A37" s="75"/>
      <c r="B37" s="75"/>
      <c r="C37" s="75"/>
    </row>
    <row r="38" spans="1:3" ht="12.75" customHeight="1" x14ac:dyDescent="0.2">
      <c r="A38" s="75"/>
      <c r="B38" s="75"/>
      <c r="C38" s="75"/>
    </row>
    <row r="39" spans="1:3" ht="12.75" customHeight="1" x14ac:dyDescent="0.2">
      <c r="A39" s="75"/>
      <c r="B39" s="75"/>
      <c r="C39" s="75"/>
    </row>
    <row r="40" spans="1:3" ht="12.75" customHeight="1" x14ac:dyDescent="0.2">
      <c r="A40" s="75"/>
      <c r="B40" s="75"/>
      <c r="C40" s="75"/>
    </row>
    <row r="41" spans="1:3" ht="12.75" customHeight="1" x14ac:dyDescent="0.2">
      <c r="A41" s="75"/>
      <c r="B41" s="75"/>
      <c r="C41" s="75"/>
    </row>
    <row r="42" spans="1:3" ht="12.75" customHeight="1" x14ac:dyDescent="0.2">
      <c r="A42" s="75"/>
      <c r="B42" s="75"/>
      <c r="C42" s="75"/>
    </row>
  </sheetData>
  <pageMargins left="0.39370078740157483" right="0.39370078740157483" top="0.4" bottom="0.78740157480314965" header="0.39370078740157483" footer="0.39370078740157483"/>
  <pageSetup paperSize="9" scale="39" orientation="landscape" r:id="rId1"/>
  <headerFooter alignWithMargins="0">
    <oddFooter>&amp;L&amp;8ETM Deutschland GmbH
PVSS Report 3.2&amp;R&amp;8&amp;A - &amp;P / &amp;N
Ausdruck vom &amp;D&amp;C&amp;8Суточный отчет
05.08.2013 8:00:00 bis 06.08.2013 7:59:59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A1">
    <pageSetUpPr fitToPage="1"/>
  </sheetPr>
  <dimension ref="A1:T42"/>
  <sheetViews>
    <sheetView topLeftCell="A9" zoomScale="115" zoomScaleNormal="115" zoomScaleSheetLayoutView="130" workbookViewId="0">
      <selection activeCell="B27" sqref="B27"/>
    </sheetView>
  </sheetViews>
  <sheetFormatPr defaultColWidth="11.42578125" defaultRowHeight="12.75" customHeight="1" x14ac:dyDescent="0.2"/>
  <cols>
    <col min="1" max="1" width="20.28515625" style="21" customWidth="1"/>
    <col min="2" max="20" width="16.7109375" style="21" customWidth="1"/>
    <col min="21" max="16384" width="11.42578125" style="21"/>
  </cols>
  <sheetData>
    <row r="1" spans="1:20" ht="12.75" hidden="1" customHeight="1" x14ac:dyDescent="0.2">
      <c r="A1" s="22" t="s">
        <v>24</v>
      </c>
    </row>
    <row r="2" spans="1:20" ht="12.75" hidden="1" customHeight="1" x14ac:dyDescent="0.2">
      <c r="A2" s="22" t="s">
        <v>25</v>
      </c>
    </row>
    <row r="3" spans="1:20" ht="12.75" hidden="1" customHeight="1" x14ac:dyDescent="0.2">
      <c r="A3" s="22"/>
    </row>
    <row r="4" spans="1:20" ht="12.75" hidden="1" customHeight="1" x14ac:dyDescent="0.2">
      <c r="A4" s="22"/>
    </row>
    <row r="5" spans="1:20" ht="12.75" hidden="1" customHeight="1" x14ac:dyDescent="0.2">
      <c r="A5" s="22"/>
    </row>
    <row r="6" spans="1:20" ht="12.75" hidden="1" customHeight="1" x14ac:dyDescent="0.2">
      <c r="A6" s="22"/>
    </row>
    <row r="7" spans="1:20" ht="12.75" hidden="1" customHeight="1" x14ac:dyDescent="0.2">
      <c r="A7" s="22"/>
    </row>
    <row r="8" spans="1:20" ht="12.75" hidden="1" customHeight="1" x14ac:dyDescent="0.2">
      <c r="A8" s="22"/>
    </row>
    <row r="9" spans="1:20" s="3" customFormat="1" ht="26.25" customHeight="1" x14ac:dyDescent="0.25">
      <c r="A9" s="1" t="s">
        <v>0</v>
      </c>
      <c r="B9" s="1" t="s">
        <v>23</v>
      </c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s="5" customFormat="1" ht="11.25" customHeight="1" x14ac:dyDescent="0.2">
      <c r="A10" s="4"/>
      <c r="B10" s="65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</row>
    <row r="11" spans="1:20" s="7" customFormat="1" ht="12" customHeight="1" x14ac:dyDescent="0.2">
      <c r="A11" s="8" t="str">
        <f>"Начало   " &amp; TEXT(B1,"ДД.ММ.ГГГГ чч:мм")</f>
        <v>Начало   00.01.1900 00:00</v>
      </c>
      <c r="B11" s="66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</row>
    <row r="12" spans="1:20" s="9" customFormat="1" ht="12" customHeight="1" x14ac:dyDescent="0.2">
      <c r="A12" s="6" t="str">
        <f>"Конец     "&amp; TEXT(B2,"ДД.ММ.ГГГГ чч:мм")</f>
        <v>Конец     00.01.1900 00:00</v>
      </c>
      <c r="B12" s="66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</row>
    <row r="13" spans="1:20" s="11" customFormat="1" ht="12" hidden="1" customHeight="1" x14ac:dyDescent="0.2">
      <c r="A13" s="10"/>
      <c r="B13" s="67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</row>
    <row r="14" spans="1:20" s="11" customFormat="1" ht="12" customHeight="1" x14ac:dyDescent="0.2">
      <c r="A14" s="69"/>
      <c r="B14" s="70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3"/>
      <c r="O14" s="62"/>
      <c r="P14" s="62"/>
      <c r="Q14" s="62"/>
      <c r="R14" s="62"/>
      <c r="S14" s="62"/>
      <c r="T14" s="62"/>
    </row>
    <row r="15" spans="1:20" ht="12.75" customHeight="1" x14ac:dyDescent="0.2">
      <c r="A15" s="68"/>
    </row>
    <row r="36" spans="1:3" ht="12.75" customHeight="1" x14ac:dyDescent="0.2">
      <c r="A36" s="75"/>
      <c r="B36" s="75"/>
      <c r="C36" s="75"/>
    </row>
    <row r="37" spans="1:3" ht="12.75" customHeight="1" x14ac:dyDescent="0.2">
      <c r="A37" s="75"/>
      <c r="B37" s="75"/>
      <c r="C37" s="75"/>
    </row>
    <row r="38" spans="1:3" ht="12.75" customHeight="1" x14ac:dyDescent="0.2">
      <c r="A38" s="75"/>
      <c r="B38" s="75"/>
      <c r="C38" s="75"/>
    </row>
    <row r="39" spans="1:3" ht="12.75" customHeight="1" x14ac:dyDescent="0.2">
      <c r="A39" s="75"/>
      <c r="B39" s="75"/>
      <c r="C39" s="75"/>
    </row>
    <row r="40" spans="1:3" ht="12.75" customHeight="1" x14ac:dyDescent="0.2">
      <c r="A40" s="75"/>
      <c r="B40" s="75"/>
      <c r="C40" s="75"/>
    </row>
    <row r="41" spans="1:3" ht="12.75" customHeight="1" x14ac:dyDescent="0.2">
      <c r="A41" s="75"/>
      <c r="B41" s="75"/>
      <c r="C41" s="75"/>
    </row>
    <row r="42" spans="1:3" ht="12.75" customHeight="1" x14ac:dyDescent="0.2">
      <c r="A42" s="75"/>
      <c r="B42" s="75"/>
      <c r="C42" s="75"/>
    </row>
  </sheetData>
  <pageMargins left="0.39370078740157483" right="0.39370078740157483" top="0.4" bottom="0.78740157480314965" header="0.39370078740157483" footer="0.39370078740157483"/>
  <pageSetup paperSize="9" scale="39" orientation="landscape" r:id="rId1"/>
  <headerFooter alignWithMargins="0">
    <oddFooter>&amp;L&amp;8ETM Deutschland GmbH
PVSS Report 3.2&amp;R&amp;8&amp;A - &amp;P / &amp;N
Ausdruck vom &amp;D&amp;C&amp;8Суточный отчет
05.08.2013 8:00:00 bis 06.08.2013 7:59:59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A2">
    <pageSetUpPr fitToPage="1"/>
  </sheetPr>
  <dimension ref="A1:T42"/>
  <sheetViews>
    <sheetView tabSelected="1" topLeftCell="A9" zoomScale="115" zoomScaleNormal="115" zoomScaleSheetLayoutView="130" workbookViewId="0">
      <selection activeCell="B27" sqref="B27"/>
    </sheetView>
  </sheetViews>
  <sheetFormatPr defaultColWidth="11.42578125" defaultRowHeight="12.75" customHeight="1" x14ac:dyDescent="0.2"/>
  <cols>
    <col min="1" max="1" width="20.28515625" style="21" customWidth="1"/>
    <col min="2" max="20" width="16.7109375" style="21" customWidth="1"/>
    <col min="21" max="16384" width="11.42578125" style="21"/>
  </cols>
  <sheetData>
    <row r="1" spans="1:20" ht="12.75" hidden="1" customHeight="1" x14ac:dyDescent="0.2">
      <c r="A1" s="22" t="s">
        <v>24</v>
      </c>
    </row>
    <row r="2" spans="1:20" ht="12.75" hidden="1" customHeight="1" x14ac:dyDescent="0.2">
      <c r="A2" s="22" t="s">
        <v>25</v>
      </c>
    </row>
    <row r="3" spans="1:20" ht="12.75" hidden="1" customHeight="1" x14ac:dyDescent="0.2">
      <c r="A3" s="22"/>
    </row>
    <row r="4" spans="1:20" ht="12.75" hidden="1" customHeight="1" x14ac:dyDescent="0.2">
      <c r="A4" s="22"/>
    </row>
    <row r="5" spans="1:20" ht="12.75" hidden="1" customHeight="1" x14ac:dyDescent="0.2">
      <c r="A5" s="22"/>
    </row>
    <row r="6" spans="1:20" ht="12.75" hidden="1" customHeight="1" x14ac:dyDescent="0.2">
      <c r="A6" s="22"/>
    </row>
    <row r="7" spans="1:20" ht="12.75" hidden="1" customHeight="1" x14ac:dyDescent="0.2">
      <c r="A7" s="22"/>
    </row>
    <row r="8" spans="1:20" ht="12.75" hidden="1" customHeight="1" x14ac:dyDescent="0.2">
      <c r="A8" s="22"/>
    </row>
    <row r="9" spans="1:20" s="3" customFormat="1" ht="26.25" customHeight="1" x14ac:dyDescent="0.25">
      <c r="A9" s="1" t="s">
        <v>0</v>
      </c>
      <c r="B9" s="1" t="s">
        <v>23</v>
      </c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s="5" customFormat="1" ht="11.25" customHeight="1" x14ac:dyDescent="0.2">
      <c r="A10" s="4"/>
      <c r="B10" s="65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</row>
    <row r="11" spans="1:20" s="7" customFormat="1" ht="12" customHeight="1" x14ac:dyDescent="0.2">
      <c r="A11" s="8" t="str">
        <f>"Начало   " &amp; TEXT(B1,"ДД.ММ.ГГГГ чч:мм")</f>
        <v>Начало   00.01.1900 00:00</v>
      </c>
      <c r="B11" s="66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</row>
    <row r="12" spans="1:20" s="9" customFormat="1" ht="12" customHeight="1" x14ac:dyDescent="0.2">
      <c r="A12" s="6" t="str">
        <f>"Конец     "&amp; TEXT(B2,"ДД.ММ.ГГГГ чч:мм")</f>
        <v>Конец     00.01.1900 00:00</v>
      </c>
      <c r="B12" s="66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</row>
    <row r="13" spans="1:20" s="11" customFormat="1" ht="12" hidden="1" customHeight="1" x14ac:dyDescent="0.2">
      <c r="A13" s="10"/>
      <c r="B13" s="67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</row>
    <row r="14" spans="1:20" s="11" customFormat="1" ht="12" customHeight="1" x14ac:dyDescent="0.2">
      <c r="A14" s="69"/>
      <c r="B14" s="70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3"/>
      <c r="O14" s="62"/>
      <c r="P14" s="62"/>
      <c r="Q14" s="62"/>
      <c r="R14" s="62"/>
      <c r="S14" s="62"/>
      <c r="T14" s="62"/>
    </row>
    <row r="15" spans="1:20" ht="12.75" customHeight="1" x14ac:dyDescent="0.2">
      <c r="A15" s="68"/>
    </row>
    <row r="36" spans="1:3" ht="12.75" customHeight="1" x14ac:dyDescent="0.2">
      <c r="A36" s="75"/>
      <c r="B36" s="75"/>
      <c r="C36" s="75"/>
    </row>
    <row r="37" spans="1:3" ht="12.75" customHeight="1" x14ac:dyDescent="0.2">
      <c r="A37" s="75"/>
      <c r="B37" s="75"/>
      <c r="C37" s="75"/>
    </row>
    <row r="38" spans="1:3" ht="12.75" customHeight="1" x14ac:dyDescent="0.2">
      <c r="A38" s="75"/>
      <c r="B38" s="75"/>
      <c r="C38" s="75"/>
    </row>
    <row r="39" spans="1:3" ht="12.75" customHeight="1" x14ac:dyDescent="0.2">
      <c r="A39" s="75"/>
      <c r="B39" s="75"/>
      <c r="C39" s="75"/>
    </row>
    <row r="40" spans="1:3" ht="12.75" customHeight="1" x14ac:dyDescent="0.2">
      <c r="A40" s="75"/>
      <c r="B40" s="75"/>
      <c r="C40" s="75"/>
    </row>
    <row r="41" spans="1:3" ht="12.75" customHeight="1" x14ac:dyDescent="0.2">
      <c r="A41" s="75"/>
      <c r="B41" s="75"/>
      <c r="C41" s="75"/>
    </row>
    <row r="42" spans="1:3" ht="12.75" customHeight="1" x14ac:dyDescent="0.2">
      <c r="A42" s="75"/>
      <c r="B42" s="75"/>
      <c r="C42" s="75"/>
    </row>
  </sheetData>
  <pageMargins left="0.39370078740157483" right="0.39370078740157483" top="0.4" bottom="0.78740157480314965" header="0.39370078740157483" footer="0.39370078740157483"/>
  <pageSetup paperSize="9" scale="39" orientation="landscape" r:id="rId1"/>
  <headerFooter alignWithMargins="0">
    <oddFooter>&amp;L&amp;8ETM Deutschland GmbH
PVSS Report 3.2&amp;R&amp;8&amp;A - &amp;P / &amp;N
Ausdruck vom &amp;D&amp;C&amp;8Суточный отчет
05.08.2013 8:00:00 bis 06.08.2013 7:59:59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nergyOpr">
    <pageSetUpPr fitToPage="1"/>
  </sheetPr>
  <dimension ref="B1:M9"/>
  <sheetViews>
    <sheetView showGridLines="0" topLeftCell="H1" workbookViewId="0">
      <selection activeCell="K22" sqref="K22"/>
    </sheetView>
  </sheetViews>
  <sheetFormatPr defaultColWidth="11.42578125" defaultRowHeight="12.75" x14ac:dyDescent="0.2"/>
  <cols>
    <col min="1" max="1" width="0" style="21" hidden="1" customWidth="1"/>
    <col min="2" max="2" width="15" style="21" hidden="1" customWidth="1"/>
    <col min="3" max="6" width="11.42578125" style="21" hidden="1" customWidth="1"/>
    <col min="7" max="7" width="7.140625" style="21" hidden="1" customWidth="1"/>
    <col min="8" max="8" width="29.42578125" style="21" customWidth="1"/>
    <col min="9" max="9" width="19.28515625" style="21" bestFit="1" customWidth="1"/>
    <col min="10" max="10" width="23" style="21" bestFit="1" customWidth="1"/>
    <col min="11" max="11" width="19.28515625" style="21" bestFit="1" customWidth="1"/>
    <col min="12" max="12" width="23" style="21" bestFit="1" customWidth="1"/>
    <col min="13" max="13" width="22.85546875" style="21" bestFit="1" customWidth="1"/>
    <col min="14" max="16384" width="11.42578125" style="21"/>
  </cols>
  <sheetData>
    <row r="1" spans="8:13" ht="18.75" thickBot="1" x14ac:dyDescent="0.3">
      <c r="H1" s="31" t="s">
        <v>28</v>
      </c>
      <c r="I1" s="32"/>
      <c r="J1" s="32"/>
      <c r="K1" s="32"/>
      <c r="L1" s="32"/>
      <c r="M1" s="32"/>
    </row>
    <row r="2" spans="8:13" ht="19.5" customHeight="1" x14ac:dyDescent="0.25">
      <c r="H2" s="33" t="s">
        <v>29</v>
      </c>
      <c r="I2" s="38"/>
      <c r="J2" s="38"/>
    </row>
    <row r="3" spans="8:13" ht="13.5" thickBot="1" x14ac:dyDescent="0.25"/>
    <row r="4" spans="8:13" x14ac:dyDescent="0.2">
      <c r="H4" s="76"/>
      <c r="I4" s="78" t="s">
        <v>30</v>
      </c>
      <c r="J4" s="78"/>
      <c r="K4" s="78" t="s">
        <v>31</v>
      </c>
      <c r="L4" s="78"/>
      <c r="M4" s="79" t="s">
        <v>32</v>
      </c>
    </row>
    <row r="5" spans="8:13" x14ac:dyDescent="0.2">
      <c r="H5" s="77"/>
      <c r="I5" s="34" t="s">
        <v>33</v>
      </c>
      <c r="J5" s="34" t="s">
        <v>34</v>
      </c>
      <c r="K5" s="34" t="s">
        <v>33</v>
      </c>
      <c r="L5" s="34" t="s">
        <v>34</v>
      </c>
      <c r="M5" s="80"/>
    </row>
    <row r="6" spans="8:13" ht="13.5" thickBot="1" x14ac:dyDescent="0.25">
      <c r="H6" s="37">
        <f t="shared" ref="H6:M6" si="0">A6</f>
        <v>0</v>
      </c>
      <c r="I6" s="35">
        <f t="shared" si="0"/>
        <v>0</v>
      </c>
      <c r="J6" s="35">
        <f t="shared" si="0"/>
        <v>0</v>
      </c>
      <c r="K6" s="35">
        <f t="shared" si="0"/>
        <v>0</v>
      </c>
      <c r="L6" s="35">
        <f t="shared" si="0"/>
        <v>0</v>
      </c>
      <c r="M6" s="36">
        <f t="shared" si="0"/>
        <v>0</v>
      </c>
    </row>
    <row r="7" spans="8:13" ht="15" x14ac:dyDescent="0.25">
      <c r="H7"/>
      <c r="I7"/>
      <c r="J7"/>
      <c r="K7"/>
      <c r="L7"/>
      <c r="M7"/>
    </row>
    <row r="8" spans="8:13" ht="15" x14ac:dyDescent="0.25">
      <c r="H8"/>
      <c r="I8"/>
      <c r="J8"/>
      <c r="K8"/>
      <c r="L8"/>
      <c r="M8"/>
    </row>
    <row r="9" spans="8:13" ht="15" x14ac:dyDescent="0.25">
      <c r="H9"/>
      <c r="I9"/>
      <c r="J9"/>
      <c r="K9"/>
      <c r="L9"/>
      <c r="M9"/>
    </row>
  </sheetData>
  <mergeCells count="4">
    <mergeCell ref="H4:H5"/>
    <mergeCell ref="I4:J4"/>
    <mergeCell ref="K4:L4"/>
    <mergeCell ref="M4:M5"/>
  </mergeCells>
  <pageMargins left="0.75" right="0.75" top="1" bottom="1" header="0.4921259845" footer="0.4921259845"/>
  <pageSetup paperSize="9" scale="62" orientation="portrait" r:id="rId1"/>
  <headerFooter alignWithMargins="0">
    <oddFooter>&amp;L&amp;8ETM Deutschland GmbH
PVSS Report 3.2&amp;R&amp;8&amp;A - &amp;P / &amp;N
Ausdruck vom &amp;D&amp;C&amp;8Суточный отчет
05.08.2013 8:00:00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L11" sqref="L11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A1A3"/>
  <dimension ref="A1:G33"/>
  <sheetViews>
    <sheetView workbookViewId="0">
      <selection activeCell="E17" sqref="E17"/>
    </sheetView>
  </sheetViews>
  <sheetFormatPr defaultRowHeight="15" x14ac:dyDescent="0.25"/>
  <cols>
    <col min="1" max="1" width="10.140625" customWidth="1"/>
    <col min="2" max="2" width="19.28515625" bestFit="1" customWidth="1"/>
    <col min="3" max="3" width="23" bestFit="1" customWidth="1"/>
    <col min="4" max="4" width="18.28515625" bestFit="1" customWidth="1"/>
    <col min="5" max="5" width="22" bestFit="1" customWidth="1"/>
    <col min="6" max="6" width="18.28515625" bestFit="1" customWidth="1"/>
    <col min="7" max="7" width="22" bestFit="1" customWidth="1"/>
  </cols>
  <sheetData>
    <row r="1" spans="1:7" ht="20.25" x14ac:dyDescent="0.25">
      <c r="A1" s="52" t="s">
        <v>0</v>
      </c>
      <c r="B1" s="52"/>
    </row>
    <row r="2" spans="1:7" x14ac:dyDescent="0.25">
      <c r="A2" t="s">
        <v>21</v>
      </c>
    </row>
    <row r="3" spans="1:7" x14ac:dyDescent="0.25">
      <c r="A3" t="s">
        <v>22</v>
      </c>
    </row>
    <row r="5" spans="1:7" x14ac:dyDescent="0.25">
      <c r="B5" t="s">
        <v>67</v>
      </c>
      <c r="C5" t="str">
        <f>B5</f>
        <v>A1_PAC3200</v>
      </c>
      <c r="D5" t="s">
        <v>68</v>
      </c>
      <c r="E5" t="str">
        <f>D5</f>
        <v>A2_PAC3200</v>
      </c>
      <c r="F5" t="s">
        <v>69</v>
      </c>
      <c r="G5" t="str">
        <f>F5</f>
        <v>A3_PAC3200</v>
      </c>
    </row>
    <row r="6" spans="1:7" x14ac:dyDescent="0.25">
      <c r="B6" s="34" t="s">
        <v>86</v>
      </c>
      <c r="C6" s="34" t="s">
        <v>85</v>
      </c>
      <c r="D6" s="34" t="s">
        <v>86</v>
      </c>
      <c r="E6" s="34" t="s">
        <v>85</v>
      </c>
      <c r="F6" s="34" t="s">
        <v>86</v>
      </c>
      <c r="G6" s="34" t="s">
        <v>85</v>
      </c>
    </row>
    <row r="7" spans="1:7" x14ac:dyDescent="0.25">
      <c r="A7" s="51">
        <v>0.33333333333333331</v>
      </c>
    </row>
    <row r="8" spans="1:7" x14ac:dyDescent="0.25">
      <c r="A8" s="51">
        <v>0.375</v>
      </c>
    </row>
    <row r="9" spans="1:7" x14ac:dyDescent="0.25">
      <c r="A9" s="51">
        <v>0.41666666666666702</v>
      </c>
    </row>
    <row r="10" spans="1:7" x14ac:dyDescent="0.25">
      <c r="A10" s="51">
        <v>0.45833333333333298</v>
      </c>
    </row>
    <row r="11" spans="1:7" x14ac:dyDescent="0.25">
      <c r="A11" s="51">
        <v>0.5</v>
      </c>
    </row>
    <row r="12" spans="1:7" x14ac:dyDescent="0.25">
      <c r="A12" s="51">
        <v>0.54166666666666696</v>
      </c>
    </row>
    <row r="13" spans="1:7" x14ac:dyDescent="0.25">
      <c r="A13" s="51">
        <v>0.58333333333333304</v>
      </c>
    </row>
    <row r="14" spans="1:7" x14ac:dyDescent="0.25">
      <c r="A14" s="51">
        <v>0.625</v>
      </c>
    </row>
    <row r="15" spans="1:7" x14ac:dyDescent="0.25">
      <c r="A15" s="51">
        <v>0.66666666666666696</v>
      </c>
    </row>
    <row r="16" spans="1:7" x14ac:dyDescent="0.25">
      <c r="A16" s="51">
        <v>0.70833333333333304</v>
      </c>
    </row>
    <row r="17" spans="1:7" x14ac:dyDescent="0.25">
      <c r="A17" s="51">
        <v>0.75</v>
      </c>
    </row>
    <row r="18" spans="1:7" x14ac:dyDescent="0.25">
      <c r="A18" s="51">
        <v>0.79166666666666696</v>
      </c>
    </row>
    <row r="19" spans="1:7" x14ac:dyDescent="0.25">
      <c r="A19" s="51">
        <v>0.83333333333333304</v>
      </c>
    </row>
    <row r="20" spans="1:7" x14ac:dyDescent="0.25">
      <c r="A20" s="51">
        <v>0.875</v>
      </c>
    </row>
    <row r="21" spans="1:7" x14ac:dyDescent="0.25">
      <c r="A21" s="51">
        <v>0.91666666666666696</v>
      </c>
    </row>
    <row r="22" spans="1:7" x14ac:dyDescent="0.25">
      <c r="A22" s="51">
        <v>0.95833333333333304</v>
      </c>
    </row>
    <row r="23" spans="1:7" x14ac:dyDescent="0.25">
      <c r="A23" s="51">
        <v>1</v>
      </c>
    </row>
    <row r="24" spans="1:7" x14ac:dyDescent="0.25">
      <c r="A24" s="51">
        <v>1.0416666666666701</v>
      </c>
    </row>
    <row r="25" spans="1:7" x14ac:dyDescent="0.25">
      <c r="A25" s="51">
        <v>1.0833333333333299</v>
      </c>
    </row>
    <row r="26" spans="1:7" x14ac:dyDescent="0.25">
      <c r="A26" s="51">
        <v>1.125</v>
      </c>
    </row>
    <row r="27" spans="1:7" x14ac:dyDescent="0.25">
      <c r="A27" s="51">
        <v>1.1666666666666701</v>
      </c>
    </row>
    <row r="28" spans="1:7" x14ac:dyDescent="0.25">
      <c r="A28" s="51">
        <v>1.2083333333333299</v>
      </c>
    </row>
    <row r="29" spans="1:7" x14ac:dyDescent="0.25">
      <c r="A29" s="51">
        <v>1.25</v>
      </c>
    </row>
    <row r="30" spans="1:7" x14ac:dyDescent="0.25">
      <c r="A30" s="51">
        <v>1.2916666666666701</v>
      </c>
    </row>
    <row r="31" spans="1:7" x14ac:dyDescent="0.25">
      <c r="A31" t="s">
        <v>87</v>
      </c>
      <c r="B31">
        <f>MIN(B7:B29)</f>
        <v>0</v>
      </c>
      <c r="C31">
        <f t="shared" ref="C31:G31" si="0">MIN(C7:C29)</f>
        <v>0</v>
      </c>
      <c r="D31">
        <f t="shared" si="0"/>
        <v>0</v>
      </c>
      <c r="E31">
        <f t="shared" si="0"/>
        <v>0</v>
      </c>
      <c r="F31">
        <f t="shared" si="0"/>
        <v>0</v>
      </c>
      <c r="G31">
        <f t="shared" si="0"/>
        <v>0</v>
      </c>
    </row>
    <row r="32" spans="1:7" x14ac:dyDescent="0.25">
      <c r="A32" t="s">
        <v>88</v>
      </c>
      <c r="B32">
        <f>MAX(B7:B29)</f>
        <v>0</v>
      </c>
      <c r="C32">
        <f t="shared" ref="C32:G32" si="1">MAX(C7:C29)</f>
        <v>0</v>
      </c>
      <c r="D32">
        <f t="shared" si="1"/>
        <v>0</v>
      </c>
      <c r="E32">
        <f t="shared" si="1"/>
        <v>0</v>
      </c>
      <c r="F32">
        <f t="shared" si="1"/>
        <v>0</v>
      </c>
      <c r="G32">
        <f t="shared" si="1"/>
        <v>0</v>
      </c>
    </row>
    <row r="33" spans="1:7" x14ac:dyDescent="0.25">
      <c r="A33" t="s">
        <v>89</v>
      </c>
      <c r="B33">
        <f>SUM(B7:B29)</f>
        <v>0</v>
      </c>
      <c r="C33">
        <f t="shared" ref="C33:G33" si="2">SUM(C7:C29)</f>
        <v>0</v>
      </c>
      <c r="D33">
        <f t="shared" si="2"/>
        <v>0</v>
      </c>
      <c r="E33">
        <f t="shared" si="2"/>
        <v>0</v>
      </c>
      <c r="F33">
        <f t="shared" si="2"/>
        <v>0</v>
      </c>
      <c r="G33">
        <f t="shared" si="2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1"/>
  <dimension ref="A1:I33"/>
  <sheetViews>
    <sheetView topLeftCell="A18" workbookViewId="0">
      <selection activeCell="B29" sqref="B7:G29"/>
    </sheetView>
  </sheetViews>
  <sheetFormatPr defaultRowHeight="15" x14ac:dyDescent="0.25"/>
  <cols>
    <col min="1" max="1" width="10.85546875" customWidth="1"/>
    <col min="2" max="2" width="19.28515625" bestFit="1" customWidth="1"/>
    <col min="3" max="3" width="23" bestFit="1" customWidth="1"/>
    <col min="4" max="4" width="18.28515625" bestFit="1" customWidth="1"/>
    <col min="5" max="5" width="22" bestFit="1" customWidth="1"/>
    <col min="6" max="6" width="18.28515625" bestFit="1" customWidth="1"/>
    <col min="7" max="7" width="22" bestFit="1" customWidth="1"/>
    <col min="8" max="8" width="18.28515625" bestFit="1" customWidth="1"/>
    <col min="9" max="9" width="22" bestFit="1" customWidth="1"/>
  </cols>
  <sheetData>
    <row r="1" spans="1:9" ht="20.25" x14ac:dyDescent="0.25">
      <c r="A1" s="52" t="s">
        <v>0</v>
      </c>
      <c r="B1" s="52"/>
    </row>
    <row r="2" spans="1:9" x14ac:dyDescent="0.25">
      <c r="A2" t="s">
        <v>21</v>
      </c>
    </row>
    <row r="3" spans="1:9" x14ac:dyDescent="0.25">
      <c r="A3" t="s">
        <v>22</v>
      </c>
    </row>
    <row r="5" spans="1:9" x14ac:dyDescent="0.25">
      <c r="B5" t="s">
        <v>70</v>
      </c>
      <c r="C5" t="str">
        <f>B5</f>
        <v>1Q11_PAC3200</v>
      </c>
      <c r="D5" t="s">
        <v>71</v>
      </c>
      <c r="E5" t="str">
        <f>D5</f>
        <v>1Q12_PAC3200</v>
      </c>
      <c r="F5" t="s">
        <v>72</v>
      </c>
      <c r="G5" t="str">
        <f>F5</f>
        <v>1Q21_PAC3200</v>
      </c>
      <c r="H5" t="s">
        <v>73</v>
      </c>
      <c r="I5" t="str">
        <f>H5</f>
        <v>1Q22_PAC3200</v>
      </c>
    </row>
    <row r="6" spans="1:9" x14ac:dyDescent="0.25">
      <c r="B6" s="34" t="s">
        <v>86</v>
      </c>
      <c r="C6" s="34" t="s">
        <v>85</v>
      </c>
      <c r="D6" s="34" t="s">
        <v>86</v>
      </c>
      <c r="E6" s="34" t="s">
        <v>85</v>
      </c>
      <c r="F6" s="34" t="s">
        <v>86</v>
      </c>
      <c r="G6" s="34" t="s">
        <v>85</v>
      </c>
      <c r="H6" s="34" t="s">
        <v>86</v>
      </c>
      <c r="I6" s="34" t="s">
        <v>85</v>
      </c>
    </row>
    <row r="7" spans="1:9" x14ac:dyDescent="0.25">
      <c r="A7" s="51">
        <v>0.33333333333333331</v>
      </c>
    </row>
    <row r="8" spans="1:9" x14ac:dyDescent="0.25">
      <c r="A8" s="51">
        <v>0.375</v>
      </c>
    </row>
    <row r="9" spans="1:9" x14ac:dyDescent="0.25">
      <c r="A9" s="51">
        <v>0.41666666666666702</v>
      </c>
    </row>
    <row r="10" spans="1:9" x14ac:dyDescent="0.25">
      <c r="A10" s="51">
        <v>0.45833333333333298</v>
      </c>
    </row>
    <row r="11" spans="1:9" x14ac:dyDescent="0.25">
      <c r="A11" s="51">
        <v>0.5</v>
      </c>
    </row>
    <row r="12" spans="1:9" x14ac:dyDescent="0.25">
      <c r="A12" s="51">
        <v>0.54166666666666696</v>
      </c>
    </row>
    <row r="13" spans="1:9" x14ac:dyDescent="0.25">
      <c r="A13" s="51">
        <v>0.58333333333333304</v>
      </c>
    </row>
    <row r="14" spans="1:9" x14ac:dyDescent="0.25">
      <c r="A14" s="51">
        <v>0.625</v>
      </c>
    </row>
    <row r="15" spans="1:9" x14ac:dyDescent="0.25">
      <c r="A15" s="51">
        <v>0.66666666666666696</v>
      </c>
    </row>
    <row r="16" spans="1:9" x14ac:dyDescent="0.25">
      <c r="A16" s="51">
        <v>0.70833333333333304</v>
      </c>
    </row>
    <row r="17" spans="1:9" x14ac:dyDescent="0.25">
      <c r="A17" s="51">
        <v>0.75</v>
      </c>
    </row>
    <row r="18" spans="1:9" x14ac:dyDescent="0.25">
      <c r="A18" s="51">
        <v>0.79166666666666696</v>
      </c>
    </row>
    <row r="19" spans="1:9" x14ac:dyDescent="0.25">
      <c r="A19" s="51">
        <v>0.83333333333333304</v>
      </c>
    </row>
    <row r="20" spans="1:9" x14ac:dyDescent="0.25">
      <c r="A20" s="51">
        <v>0.875</v>
      </c>
    </row>
    <row r="21" spans="1:9" x14ac:dyDescent="0.25">
      <c r="A21" s="51">
        <v>0.91666666666666696</v>
      </c>
    </row>
    <row r="22" spans="1:9" x14ac:dyDescent="0.25">
      <c r="A22" s="51">
        <v>0.95833333333333304</v>
      </c>
    </row>
    <row r="23" spans="1:9" x14ac:dyDescent="0.25">
      <c r="A23" s="51">
        <v>1</v>
      </c>
    </row>
    <row r="24" spans="1:9" x14ac:dyDescent="0.25">
      <c r="A24" s="51">
        <v>1.0416666666666701</v>
      </c>
    </row>
    <row r="25" spans="1:9" x14ac:dyDescent="0.25">
      <c r="A25" s="51">
        <v>1.0833333333333299</v>
      </c>
    </row>
    <row r="26" spans="1:9" x14ac:dyDescent="0.25">
      <c r="A26" s="51">
        <v>1.125</v>
      </c>
    </row>
    <row r="27" spans="1:9" x14ac:dyDescent="0.25">
      <c r="A27" s="51">
        <v>1.1666666666666701</v>
      </c>
    </row>
    <row r="28" spans="1:9" x14ac:dyDescent="0.25">
      <c r="A28" s="51">
        <v>1.2083333333333299</v>
      </c>
    </row>
    <row r="29" spans="1:9" x14ac:dyDescent="0.25">
      <c r="A29" s="51">
        <v>1.25</v>
      </c>
    </row>
    <row r="30" spans="1:9" x14ac:dyDescent="0.25">
      <c r="A30" s="51">
        <v>1.2916666666666701</v>
      </c>
    </row>
    <row r="31" spans="1:9" x14ac:dyDescent="0.25">
      <c r="A31" t="s">
        <v>87</v>
      </c>
      <c r="B31">
        <f>MIN(B7:B29)</f>
        <v>0</v>
      </c>
      <c r="C31">
        <f t="shared" ref="C31:G31" si="0">MIN(C7:C29)</f>
        <v>0</v>
      </c>
      <c r="D31">
        <f t="shared" si="0"/>
        <v>0</v>
      </c>
      <c r="E31">
        <f t="shared" si="0"/>
        <v>0</v>
      </c>
      <c r="F31">
        <f t="shared" si="0"/>
        <v>0</v>
      </c>
      <c r="G31">
        <f t="shared" si="0"/>
        <v>0</v>
      </c>
      <c r="H31">
        <f t="shared" ref="H31:I31" si="1">MIN(H7:H29)</f>
        <v>0</v>
      </c>
      <c r="I31">
        <f t="shared" si="1"/>
        <v>0</v>
      </c>
    </row>
    <row r="32" spans="1:9" x14ac:dyDescent="0.25">
      <c r="A32" t="s">
        <v>88</v>
      </c>
      <c r="B32">
        <f>MAX(B7:B29)</f>
        <v>0</v>
      </c>
      <c r="C32">
        <f t="shared" ref="C32:G32" si="2">MAX(C7:C29)</f>
        <v>0</v>
      </c>
      <c r="D32">
        <f t="shared" si="2"/>
        <v>0</v>
      </c>
      <c r="E32">
        <f t="shared" si="2"/>
        <v>0</v>
      </c>
      <c r="F32">
        <f t="shared" si="2"/>
        <v>0</v>
      </c>
      <c r="G32">
        <f t="shared" si="2"/>
        <v>0</v>
      </c>
      <c r="H32">
        <f t="shared" ref="H32:I32" si="3">MAX(H7:H29)</f>
        <v>0</v>
      </c>
      <c r="I32">
        <f t="shared" si="3"/>
        <v>0</v>
      </c>
    </row>
    <row r="33" spans="1:9" x14ac:dyDescent="0.25">
      <c r="A33" t="s">
        <v>89</v>
      </c>
      <c r="B33">
        <f>SUM(B7:B29)</f>
        <v>0</v>
      </c>
      <c r="C33">
        <f t="shared" ref="C33:G33" si="4">SUM(C7:C29)</f>
        <v>0</v>
      </c>
      <c r="D33">
        <f t="shared" si="4"/>
        <v>0</v>
      </c>
      <c r="E33">
        <f t="shared" si="4"/>
        <v>0</v>
      </c>
      <c r="F33">
        <f t="shared" si="4"/>
        <v>0</v>
      </c>
      <c r="G33">
        <f t="shared" si="4"/>
        <v>0</v>
      </c>
      <c r="H33">
        <f t="shared" ref="H33:I33" si="5">SUM(H7:H29)</f>
        <v>0</v>
      </c>
      <c r="I33">
        <f t="shared" si="5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2"/>
  <dimension ref="A1:M33"/>
  <sheetViews>
    <sheetView topLeftCell="A18" workbookViewId="0">
      <selection activeCell="B29" sqref="B7:G29"/>
    </sheetView>
  </sheetViews>
  <sheetFormatPr defaultRowHeight="15" x14ac:dyDescent="0.25"/>
  <cols>
    <col min="1" max="1" width="10.7109375" customWidth="1"/>
    <col min="2" max="2" width="19.28515625" bestFit="1" customWidth="1"/>
    <col min="3" max="3" width="23" bestFit="1" customWidth="1"/>
    <col min="4" max="4" width="18.28515625" bestFit="1" customWidth="1"/>
    <col min="5" max="5" width="22" bestFit="1" customWidth="1"/>
    <col min="6" max="6" width="18.28515625" bestFit="1" customWidth="1"/>
    <col min="7" max="7" width="22" bestFit="1" customWidth="1"/>
    <col min="8" max="8" width="18.28515625" bestFit="1" customWidth="1"/>
    <col min="9" max="9" width="22" bestFit="1" customWidth="1"/>
    <col min="10" max="10" width="18.28515625" bestFit="1" customWidth="1"/>
    <col min="11" max="11" width="22" bestFit="1" customWidth="1"/>
    <col min="12" max="12" width="18.28515625" bestFit="1" customWidth="1"/>
    <col min="13" max="13" width="22" bestFit="1" customWidth="1"/>
  </cols>
  <sheetData>
    <row r="1" spans="1:13" ht="20.25" x14ac:dyDescent="0.25">
      <c r="A1" s="52" t="s">
        <v>0</v>
      </c>
      <c r="B1" s="52"/>
    </row>
    <row r="2" spans="1:13" x14ac:dyDescent="0.25">
      <c r="A2" t="s">
        <v>21</v>
      </c>
    </row>
    <row r="3" spans="1:13" x14ac:dyDescent="0.25">
      <c r="A3" t="s">
        <v>22</v>
      </c>
    </row>
    <row r="5" spans="1:13" x14ac:dyDescent="0.25">
      <c r="B5" t="s">
        <v>74</v>
      </c>
      <c r="C5" t="str">
        <f>B5</f>
        <v>2Q11_PAC3200</v>
      </c>
      <c r="D5" t="s">
        <v>75</v>
      </c>
      <c r="E5" t="str">
        <f>D5</f>
        <v>2Q12_PAC3200</v>
      </c>
      <c r="F5" t="s">
        <v>76</v>
      </c>
      <c r="G5" t="str">
        <f>F5</f>
        <v>2Q21_PAC3200</v>
      </c>
      <c r="H5" t="s">
        <v>77</v>
      </c>
      <c r="I5" t="str">
        <f>H5</f>
        <v>2Q22_PAC3200</v>
      </c>
      <c r="J5" t="s">
        <v>78</v>
      </c>
      <c r="K5" t="str">
        <f>J5</f>
        <v>2Q23_PAC3200</v>
      </c>
      <c r="L5" t="s">
        <v>79</v>
      </c>
      <c r="M5" t="str">
        <f>L5</f>
        <v>2Q24_PAC3200</v>
      </c>
    </row>
    <row r="6" spans="1:13" x14ac:dyDescent="0.25">
      <c r="B6" s="34" t="s">
        <v>86</v>
      </c>
      <c r="C6" s="34" t="s">
        <v>85</v>
      </c>
      <c r="D6" s="34" t="s">
        <v>86</v>
      </c>
      <c r="E6" s="34" t="s">
        <v>85</v>
      </c>
      <c r="F6" s="34" t="s">
        <v>86</v>
      </c>
      <c r="G6" s="34" t="s">
        <v>85</v>
      </c>
      <c r="H6" s="34" t="s">
        <v>86</v>
      </c>
      <c r="I6" s="34" t="s">
        <v>85</v>
      </c>
      <c r="J6" s="34" t="s">
        <v>86</v>
      </c>
      <c r="K6" s="34" t="s">
        <v>85</v>
      </c>
      <c r="L6" s="34" t="s">
        <v>86</v>
      </c>
      <c r="M6" s="34" t="s">
        <v>85</v>
      </c>
    </row>
    <row r="7" spans="1:13" x14ac:dyDescent="0.25">
      <c r="A7" s="51">
        <v>0.33333333333333331</v>
      </c>
    </row>
    <row r="8" spans="1:13" x14ac:dyDescent="0.25">
      <c r="A8" s="51">
        <v>0.375</v>
      </c>
    </row>
    <row r="9" spans="1:13" x14ac:dyDescent="0.25">
      <c r="A9" s="51">
        <v>0.41666666666666702</v>
      </c>
    </row>
    <row r="10" spans="1:13" x14ac:dyDescent="0.25">
      <c r="A10" s="51">
        <v>0.45833333333333298</v>
      </c>
    </row>
    <row r="11" spans="1:13" x14ac:dyDescent="0.25">
      <c r="A11" s="51">
        <v>0.5</v>
      </c>
    </row>
    <row r="12" spans="1:13" x14ac:dyDescent="0.25">
      <c r="A12" s="51">
        <v>0.54166666666666696</v>
      </c>
    </row>
    <row r="13" spans="1:13" x14ac:dyDescent="0.25">
      <c r="A13" s="51">
        <v>0.58333333333333304</v>
      </c>
    </row>
    <row r="14" spans="1:13" x14ac:dyDescent="0.25">
      <c r="A14" s="51">
        <v>0.625</v>
      </c>
    </row>
    <row r="15" spans="1:13" x14ac:dyDescent="0.25">
      <c r="A15" s="51">
        <v>0.66666666666666696</v>
      </c>
    </row>
    <row r="16" spans="1:13" x14ac:dyDescent="0.25">
      <c r="A16" s="51">
        <v>0.70833333333333304</v>
      </c>
    </row>
    <row r="17" spans="1:13" x14ac:dyDescent="0.25">
      <c r="A17" s="51">
        <v>0.75</v>
      </c>
    </row>
    <row r="18" spans="1:13" x14ac:dyDescent="0.25">
      <c r="A18" s="51">
        <v>0.79166666666666696</v>
      </c>
    </row>
    <row r="19" spans="1:13" x14ac:dyDescent="0.25">
      <c r="A19" s="51">
        <v>0.83333333333333304</v>
      </c>
    </row>
    <row r="20" spans="1:13" x14ac:dyDescent="0.25">
      <c r="A20" s="51">
        <v>0.875</v>
      </c>
    </row>
    <row r="21" spans="1:13" x14ac:dyDescent="0.25">
      <c r="A21" s="51">
        <v>0.91666666666666696</v>
      </c>
    </row>
    <row r="22" spans="1:13" x14ac:dyDescent="0.25">
      <c r="A22" s="51">
        <v>0.95833333333333304</v>
      </c>
    </row>
    <row r="23" spans="1:13" x14ac:dyDescent="0.25">
      <c r="A23" s="51">
        <v>1</v>
      </c>
    </row>
    <row r="24" spans="1:13" x14ac:dyDescent="0.25">
      <c r="A24" s="51">
        <v>1.0416666666666701</v>
      </c>
    </row>
    <row r="25" spans="1:13" x14ac:dyDescent="0.25">
      <c r="A25" s="51">
        <v>1.0833333333333299</v>
      </c>
    </row>
    <row r="26" spans="1:13" x14ac:dyDescent="0.25">
      <c r="A26" s="51">
        <v>1.125</v>
      </c>
    </row>
    <row r="27" spans="1:13" x14ac:dyDescent="0.25">
      <c r="A27" s="51">
        <v>1.1666666666666701</v>
      </c>
    </row>
    <row r="28" spans="1:13" x14ac:dyDescent="0.25">
      <c r="A28" s="51">
        <v>1.2083333333333299</v>
      </c>
    </row>
    <row r="29" spans="1:13" x14ac:dyDescent="0.25">
      <c r="A29" s="51">
        <v>1.25</v>
      </c>
    </row>
    <row r="30" spans="1:13" x14ac:dyDescent="0.25">
      <c r="A30" s="51">
        <v>1.2916666666666701</v>
      </c>
    </row>
    <row r="31" spans="1:13" x14ac:dyDescent="0.25">
      <c r="A31" t="s">
        <v>87</v>
      </c>
      <c r="B31">
        <f>MIN(B7:B29)</f>
        <v>0</v>
      </c>
      <c r="C31">
        <f t="shared" ref="C31:I31" si="0">MIN(C7:C29)</f>
        <v>0</v>
      </c>
      <c r="D31">
        <f t="shared" si="0"/>
        <v>0</v>
      </c>
      <c r="E31">
        <f t="shared" si="0"/>
        <v>0</v>
      </c>
      <c r="F31">
        <f t="shared" si="0"/>
        <v>0</v>
      </c>
      <c r="G31">
        <f t="shared" si="0"/>
        <v>0</v>
      </c>
      <c r="H31">
        <f t="shared" si="0"/>
        <v>0</v>
      </c>
      <c r="I31">
        <f t="shared" si="0"/>
        <v>0</v>
      </c>
      <c r="J31">
        <f t="shared" ref="J31:M31" si="1">MIN(J7:J29)</f>
        <v>0</v>
      </c>
      <c r="K31">
        <f t="shared" si="1"/>
        <v>0</v>
      </c>
      <c r="L31">
        <f t="shared" si="1"/>
        <v>0</v>
      </c>
      <c r="M31">
        <f t="shared" si="1"/>
        <v>0</v>
      </c>
    </row>
    <row r="32" spans="1:13" x14ac:dyDescent="0.25">
      <c r="A32" t="s">
        <v>88</v>
      </c>
      <c r="B32">
        <f>MAX(B7:B29)</f>
        <v>0</v>
      </c>
      <c r="C32">
        <f t="shared" ref="C32:I32" si="2">MAX(C7:C29)</f>
        <v>0</v>
      </c>
      <c r="D32">
        <f t="shared" si="2"/>
        <v>0</v>
      </c>
      <c r="E32">
        <f t="shared" si="2"/>
        <v>0</v>
      </c>
      <c r="F32">
        <f t="shared" si="2"/>
        <v>0</v>
      </c>
      <c r="G32">
        <f t="shared" si="2"/>
        <v>0</v>
      </c>
      <c r="H32">
        <f t="shared" si="2"/>
        <v>0</v>
      </c>
      <c r="I32">
        <f t="shared" si="2"/>
        <v>0</v>
      </c>
      <c r="J32">
        <f t="shared" ref="J32:M32" si="3">MAX(J7:J29)</f>
        <v>0</v>
      </c>
      <c r="K32">
        <f t="shared" si="3"/>
        <v>0</v>
      </c>
      <c r="L32">
        <f t="shared" si="3"/>
        <v>0</v>
      </c>
      <c r="M32">
        <f t="shared" si="3"/>
        <v>0</v>
      </c>
    </row>
    <row r="33" spans="1:13" x14ac:dyDescent="0.25">
      <c r="A33" t="s">
        <v>89</v>
      </c>
      <c r="B33">
        <f>SUM(B7:B29)</f>
        <v>0</v>
      </c>
      <c r="C33">
        <f t="shared" ref="C33:I33" si="4">SUM(C7:C29)</f>
        <v>0</v>
      </c>
      <c r="D33">
        <f t="shared" si="4"/>
        <v>0</v>
      </c>
      <c r="E33">
        <f t="shared" si="4"/>
        <v>0</v>
      </c>
      <c r="F33">
        <f t="shared" si="4"/>
        <v>0</v>
      </c>
      <c r="G33">
        <f t="shared" si="4"/>
        <v>0</v>
      </c>
      <c r="H33">
        <f t="shared" si="4"/>
        <v>0</v>
      </c>
      <c r="I33">
        <f t="shared" si="4"/>
        <v>0</v>
      </c>
      <c r="J33">
        <f t="shared" ref="J33:M33" si="5">SUM(J7:J29)</f>
        <v>0</v>
      </c>
      <c r="K33">
        <f t="shared" si="5"/>
        <v>0</v>
      </c>
      <c r="L33">
        <f t="shared" si="5"/>
        <v>0</v>
      </c>
      <c r="M33">
        <f t="shared" si="5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3"/>
  <dimension ref="A1:K33"/>
  <sheetViews>
    <sheetView workbookViewId="0">
      <selection activeCell="B46" sqref="B46"/>
    </sheetView>
  </sheetViews>
  <sheetFormatPr defaultRowHeight="15" x14ac:dyDescent="0.25"/>
  <cols>
    <col min="1" max="1" width="11.28515625" customWidth="1"/>
    <col min="2" max="2" width="19.28515625" bestFit="1" customWidth="1"/>
    <col min="3" max="3" width="23" bestFit="1" customWidth="1"/>
    <col min="4" max="4" width="18.28515625" bestFit="1" customWidth="1"/>
    <col min="5" max="5" width="22" bestFit="1" customWidth="1"/>
    <col min="6" max="6" width="18.28515625" bestFit="1" customWidth="1"/>
    <col min="7" max="7" width="22" bestFit="1" customWidth="1"/>
    <col min="8" max="8" width="18.28515625" bestFit="1" customWidth="1"/>
    <col min="9" max="9" width="22" bestFit="1" customWidth="1"/>
    <col min="10" max="10" width="18.28515625" bestFit="1" customWidth="1"/>
    <col min="11" max="11" width="22" bestFit="1" customWidth="1"/>
  </cols>
  <sheetData>
    <row r="1" spans="1:11" ht="20.25" x14ac:dyDescent="0.25">
      <c r="A1" s="52" t="s">
        <v>0</v>
      </c>
      <c r="B1" s="52"/>
    </row>
    <row r="2" spans="1:11" x14ac:dyDescent="0.25">
      <c r="A2" t="s">
        <v>21</v>
      </c>
    </row>
    <row r="3" spans="1:11" x14ac:dyDescent="0.25">
      <c r="A3" t="s">
        <v>22</v>
      </c>
    </row>
    <row r="5" spans="1:11" x14ac:dyDescent="0.25">
      <c r="B5" t="s">
        <v>80</v>
      </c>
      <c r="C5" t="str">
        <f>B5</f>
        <v>3Q11_PAC3200</v>
      </c>
      <c r="D5" t="s">
        <v>81</v>
      </c>
      <c r="E5" t="str">
        <f>D5</f>
        <v>3Q12_PAC3200</v>
      </c>
      <c r="F5" t="s">
        <v>82</v>
      </c>
      <c r="G5" t="str">
        <f>F5</f>
        <v>3Q21_PAC3200</v>
      </c>
      <c r="H5" t="s">
        <v>83</v>
      </c>
      <c r="I5" t="str">
        <f>H5</f>
        <v>3Q22_PAC3200</v>
      </c>
      <c r="J5" t="s">
        <v>84</v>
      </c>
      <c r="K5" t="str">
        <f>J5</f>
        <v>3Q23_PAC3200</v>
      </c>
    </row>
    <row r="6" spans="1:11" x14ac:dyDescent="0.25">
      <c r="B6" s="34" t="s">
        <v>86</v>
      </c>
      <c r="C6" s="34" t="s">
        <v>85</v>
      </c>
      <c r="D6" s="34" t="s">
        <v>86</v>
      </c>
      <c r="E6" s="34" t="s">
        <v>85</v>
      </c>
      <c r="F6" s="34" t="s">
        <v>86</v>
      </c>
      <c r="G6" s="34" t="s">
        <v>85</v>
      </c>
      <c r="H6" s="34" t="s">
        <v>86</v>
      </c>
      <c r="I6" s="34" t="s">
        <v>85</v>
      </c>
      <c r="J6" s="34" t="s">
        <v>86</v>
      </c>
      <c r="K6" s="34" t="s">
        <v>85</v>
      </c>
    </row>
    <row r="7" spans="1:11" x14ac:dyDescent="0.25">
      <c r="A7" s="51">
        <v>0.33333333333333331</v>
      </c>
    </row>
    <row r="8" spans="1:11" x14ac:dyDescent="0.25">
      <c r="A8" s="51">
        <v>0.375</v>
      </c>
    </row>
    <row r="9" spans="1:11" x14ac:dyDescent="0.25">
      <c r="A9" s="51">
        <v>0.41666666666666702</v>
      </c>
    </row>
    <row r="10" spans="1:11" x14ac:dyDescent="0.25">
      <c r="A10" s="51">
        <v>0.45833333333333298</v>
      </c>
    </row>
    <row r="11" spans="1:11" x14ac:dyDescent="0.25">
      <c r="A11" s="51">
        <v>0.5</v>
      </c>
    </row>
    <row r="12" spans="1:11" x14ac:dyDescent="0.25">
      <c r="A12" s="51">
        <v>0.54166666666666696</v>
      </c>
    </row>
    <row r="13" spans="1:11" x14ac:dyDescent="0.25">
      <c r="A13" s="51">
        <v>0.58333333333333304</v>
      </c>
    </row>
    <row r="14" spans="1:11" x14ac:dyDescent="0.25">
      <c r="A14" s="51">
        <v>0.625</v>
      </c>
    </row>
    <row r="15" spans="1:11" x14ac:dyDescent="0.25">
      <c r="A15" s="51">
        <v>0.66666666666666696</v>
      </c>
    </row>
    <row r="16" spans="1:11" x14ac:dyDescent="0.25">
      <c r="A16" s="51">
        <v>0.70833333333333304</v>
      </c>
    </row>
    <row r="17" spans="1:11" x14ac:dyDescent="0.25">
      <c r="A17" s="51">
        <v>0.75</v>
      </c>
    </row>
    <row r="18" spans="1:11" x14ac:dyDescent="0.25">
      <c r="A18" s="51">
        <v>0.79166666666666696</v>
      </c>
    </row>
    <row r="19" spans="1:11" x14ac:dyDescent="0.25">
      <c r="A19" s="51">
        <v>0.83333333333333304</v>
      </c>
    </row>
    <row r="20" spans="1:11" x14ac:dyDescent="0.25">
      <c r="A20" s="51">
        <v>0.875</v>
      </c>
    </row>
    <row r="21" spans="1:11" x14ac:dyDescent="0.25">
      <c r="A21" s="51">
        <v>0.91666666666666696</v>
      </c>
    </row>
    <row r="22" spans="1:11" x14ac:dyDescent="0.25">
      <c r="A22" s="51">
        <v>0.95833333333333304</v>
      </c>
    </row>
    <row r="23" spans="1:11" x14ac:dyDescent="0.25">
      <c r="A23" s="51">
        <v>1</v>
      </c>
    </row>
    <row r="24" spans="1:11" x14ac:dyDescent="0.25">
      <c r="A24" s="51">
        <v>1.0416666666666701</v>
      </c>
    </row>
    <row r="25" spans="1:11" x14ac:dyDescent="0.25">
      <c r="A25" s="51">
        <v>1.0833333333333299</v>
      </c>
    </row>
    <row r="26" spans="1:11" x14ac:dyDescent="0.25">
      <c r="A26" s="51">
        <v>1.125</v>
      </c>
    </row>
    <row r="27" spans="1:11" x14ac:dyDescent="0.25">
      <c r="A27" s="51">
        <v>1.1666666666666701</v>
      </c>
    </row>
    <row r="28" spans="1:11" x14ac:dyDescent="0.25">
      <c r="A28" s="51">
        <v>1.2083333333333299</v>
      </c>
    </row>
    <row r="29" spans="1:11" x14ac:dyDescent="0.25">
      <c r="A29" s="51">
        <v>1.25</v>
      </c>
    </row>
    <row r="30" spans="1:11" x14ac:dyDescent="0.25">
      <c r="A30" s="51">
        <v>1.2916666666666701</v>
      </c>
    </row>
    <row r="31" spans="1:11" x14ac:dyDescent="0.25">
      <c r="A31" t="s">
        <v>87</v>
      </c>
      <c r="B31">
        <f>MIN(B7:B29)</f>
        <v>0</v>
      </c>
      <c r="C31">
        <f t="shared" ref="C31:K31" si="0">MIN(C7:C29)</f>
        <v>0</v>
      </c>
      <c r="D31">
        <f t="shared" si="0"/>
        <v>0</v>
      </c>
      <c r="E31">
        <f t="shared" si="0"/>
        <v>0</v>
      </c>
      <c r="F31">
        <f t="shared" si="0"/>
        <v>0</v>
      </c>
      <c r="G31">
        <f t="shared" si="0"/>
        <v>0</v>
      </c>
      <c r="H31">
        <f t="shared" si="0"/>
        <v>0</v>
      </c>
      <c r="I31">
        <f t="shared" si="0"/>
        <v>0</v>
      </c>
      <c r="J31">
        <f t="shared" si="0"/>
        <v>0</v>
      </c>
      <c r="K31">
        <f t="shared" si="0"/>
        <v>0</v>
      </c>
    </row>
    <row r="32" spans="1:11" x14ac:dyDescent="0.25">
      <c r="A32" t="s">
        <v>88</v>
      </c>
      <c r="B32">
        <f>MAX(B7:B29)</f>
        <v>0</v>
      </c>
      <c r="C32">
        <f t="shared" ref="C32:K32" si="1">MAX(C7:C29)</f>
        <v>0</v>
      </c>
      <c r="D32">
        <f t="shared" si="1"/>
        <v>0</v>
      </c>
      <c r="E32">
        <f t="shared" si="1"/>
        <v>0</v>
      </c>
      <c r="F32">
        <f t="shared" si="1"/>
        <v>0</v>
      </c>
      <c r="G32">
        <f t="shared" si="1"/>
        <v>0</v>
      </c>
      <c r="H32">
        <f t="shared" si="1"/>
        <v>0</v>
      </c>
      <c r="I32">
        <f t="shared" si="1"/>
        <v>0</v>
      </c>
      <c r="J32">
        <f t="shared" si="1"/>
        <v>0</v>
      </c>
      <c r="K32">
        <f t="shared" si="1"/>
        <v>0</v>
      </c>
    </row>
    <row r="33" spans="1:11" x14ac:dyDescent="0.25">
      <c r="A33" t="s">
        <v>89</v>
      </c>
      <c r="B33">
        <f>SUM(B7:B29)</f>
        <v>0</v>
      </c>
      <c r="C33">
        <f t="shared" ref="C33:K33" si="2">SUM(C7:C29)</f>
        <v>0</v>
      </c>
      <c r="D33">
        <f t="shared" si="2"/>
        <v>0</v>
      </c>
      <c r="E33">
        <f t="shared" si="2"/>
        <v>0</v>
      </c>
      <c r="F33">
        <f t="shared" si="2"/>
        <v>0</v>
      </c>
      <c r="G33">
        <f t="shared" si="2"/>
        <v>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A_Diag">
    <pageSetUpPr fitToPage="1"/>
  </sheetPr>
  <dimension ref="A1:K86"/>
  <sheetViews>
    <sheetView topLeftCell="A26" workbookViewId="0">
      <selection activeCell="N30" sqref="N30"/>
    </sheetView>
  </sheetViews>
  <sheetFormatPr defaultRowHeight="12.75" x14ac:dyDescent="0.2"/>
  <cols>
    <col min="1" max="1" width="9.140625" style="55" customWidth="1"/>
    <col min="2" max="2" width="22.140625" style="55" customWidth="1"/>
    <col min="3" max="3" width="24.85546875" style="55" customWidth="1"/>
    <col min="4" max="4" width="16.5703125" style="55" customWidth="1"/>
    <col min="5" max="5" width="19" style="55" customWidth="1"/>
    <col min="6" max="16384" width="9.140625" style="55"/>
  </cols>
  <sheetData>
    <row r="1" spans="1:11" ht="18.75" thickBot="1" x14ac:dyDescent="0.3">
      <c r="A1" s="53" t="s">
        <v>90</v>
      </c>
      <c r="B1" s="54"/>
      <c r="C1" s="54"/>
      <c r="D1" s="54"/>
      <c r="E1" s="54"/>
      <c r="F1" s="54"/>
      <c r="G1" s="54"/>
      <c r="H1" s="54"/>
      <c r="I1" s="53"/>
      <c r="J1" s="54"/>
      <c r="K1" s="54"/>
    </row>
    <row r="2" spans="1:11" ht="15" x14ac:dyDescent="0.2">
      <c r="A2" s="56" t="s">
        <v>21</v>
      </c>
      <c r="B2" s="56"/>
    </row>
    <row r="3" spans="1:11" ht="15" x14ac:dyDescent="0.2">
      <c r="A3" s="56" t="s">
        <v>22</v>
      </c>
      <c r="B3" s="56"/>
      <c r="C3" s="56"/>
      <c r="D3" s="57"/>
    </row>
    <row r="4" spans="1:11" ht="15" x14ac:dyDescent="0.2">
      <c r="A4" s="56"/>
      <c r="B4" s="56"/>
      <c r="C4" s="56"/>
      <c r="D4" s="57"/>
    </row>
    <row r="5" spans="1:11" ht="18" x14ac:dyDescent="0.25">
      <c r="A5" s="56" t="s">
        <v>91</v>
      </c>
      <c r="B5" s="56"/>
      <c r="C5" s="58">
        <f>A1A3!B33</f>
        <v>0</v>
      </c>
      <c r="D5" s="56" t="s">
        <v>92</v>
      </c>
      <c r="E5" s="59">
        <f>A1A3!C33</f>
        <v>0</v>
      </c>
      <c r="I5" s="60" t="s">
        <v>67</v>
      </c>
    </row>
    <row r="32" spans="1:9" ht="18" x14ac:dyDescent="0.25">
      <c r="A32" s="56" t="s">
        <v>91</v>
      </c>
      <c r="B32" s="56"/>
      <c r="C32" s="58"/>
      <c r="D32" s="56" t="s">
        <v>93</v>
      </c>
      <c r="E32" s="58"/>
      <c r="F32" s="56"/>
      <c r="I32" s="60"/>
    </row>
    <row r="59" spans="1:9" ht="15" x14ac:dyDescent="0.2">
      <c r="A59" s="56" t="s">
        <v>91</v>
      </c>
      <c r="B59" s="56"/>
      <c r="C59" s="58"/>
      <c r="D59" s="56" t="s">
        <v>147</v>
      </c>
    </row>
    <row r="60" spans="1:9" ht="18" x14ac:dyDescent="0.25">
      <c r="A60" s="56"/>
      <c r="B60" s="56"/>
      <c r="C60" s="58"/>
      <c r="D60" s="56"/>
      <c r="E60" s="59"/>
      <c r="F60" s="56"/>
      <c r="I60" s="60"/>
    </row>
    <row r="86" spans="1:9" ht="18" x14ac:dyDescent="0.25">
      <c r="A86" s="56"/>
      <c r="B86" s="56"/>
      <c r="C86" s="58"/>
      <c r="D86" s="56"/>
      <c r="E86" s="59"/>
      <c r="F86" s="56"/>
      <c r="I86" s="60"/>
    </row>
  </sheetData>
  <pageMargins left="0.70866141732283472" right="0.70866141732283472" top="0.74803149606299213" bottom="0.74803149606299213" header="0.31496062992125984" footer="0.31496062992125984"/>
  <pageSetup paperSize="9" scale="93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GobalER"/>
  <dimension ref="A1:R27"/>
  <sheetViews>
    <sheetView showGridLines="0" topLeftCell="M1" workbookViewId="0">
      <selection activeCell="V12" sqref="V12"/>
    </sheetView>
  </sheetViews>
  <sheetFormatPr defaultRowHeight="15" x14ac:dyDescent="0.25"/>
  <cols>
    <col min="1" max="12" width="9.140625" hidden="1" customWidth="1"/>
    <col min="13" max="18" width="22.7109375" customWidth="1"/>
  </cols>
  <sheetData>
    <row r="1" spans="13:18" ht="24" thickBot="1" x14ac:dyDescent="0.4">
      <c r="M1" s="39" t="s">
        <v>35</v>
      </c>
      <c r="N1" s="40"/>
      <c r="O1" s="40"/>
      <c r="P1" s="40"/>
      <c r="Q1" s="40"/>
      <c r="R1" s="40"/>
    </row>
    <row r="2" spans="13:18" ht="15.75" x14ac:dyDescent="0.25">
      <c r="M2" s="41" t="s">
        <v>38</v>
      </c>
      <c r="N2" s="42"/>
      <c r="O2" s="42"/>
      <c r="P2" s="43"/>
      <c r="Q2" s="43"/>
      <c r="R2" s="43"/>
    </row>
    <row r="3" spans="13:18" x14ac:dyDescent="0.25">
      <c r="M3" s="43"/>
      <c r="N3" s="43"/>
      <c r="O3" s="43"/>
      <c r="P3" s="43"/>
      <c r="Q3" s="43"/>
      <c r="R3" s="43"/>
    </row>
    <row r="4" spans="13:18" ht="15.75" x14ac:dyDescent="0.25">
      <c r="M4" s="41" t="s">
        <v>36</v>
      </c>
      <c r="N4" s="43"/>
      <c r="O4" s="43"/>
      <c r="P4" s="43"/>
      <c r="Q4" s="43"/>
      <c r="R4" s="43"/>
    </row>
    <row r="5" spans="13:18" x14ac:dyDescent="0.25">
      <c r="M5" s="44" t="s">
        <v>37</v>
      </c>
      <c r="N5" s="43"/>
      <c r="O5" s="43"/>
      <c r="P5" s="43"/>
      <c r="Q5" s="43"/>
      <c r="R5" s="43">
        <f>A6</f>
        <v>0</v>
      </c>
    </row>
    <row r="6" spans="13:18" x14ac:dyDescent="0.25">
      <c r="M6" s="45"/>
      <c r="N6" s="81" t="s">
        <v>30</v>
      </c>
      <c r="O6" s="81"/>
      <c r="P6" s="81" t="s">
        <v>31</v>
      </c>
      <c r="Q6" s="81"/>
      <c r="R6" s="82" t="s">
        <v>32</v>
      </c>
    </row>
    <row r="7" spans="13:18" x14ac:dyDescent="0.25">
      <c r="M7" s="45" t="s">
        <v>39</v>
      </c>
      <c r="N7" s="45" t="s">
        <v>40</v>
      </c>
      <c r="O7" s="45" t="s">
        <v>41</v>
      </c>
      <c r="P7" s="45" t="s">
        <v>40</v>
      </c>
      <c r="Q7" s="45" t="s">
        <v>41</v>
      </c>
      <c r="R7" s="83"/>
    </row>
    <row r="8" spans="13:18" x14ac:dyDescent="0.25">
      <c r="M8" s="46">
        <f>$N$2</f>
        <v>0</v>
      </c>
      <c r="N8" s="47">
        <f>B6</f>
        <v>0</v>
      </c>
      <c r="O8" s="47">
        <f>C6</f>
        <v>0</v>
      </c>
      <c r="P8" s="47">
        <f>D6</f>
        <v>0</v>
      </c>
      <c r="Q8" s="47">
        <f>E6</f>
        <v>0</v>
      </c>
      <c r="R8" s="47">
        <f>F6</f>
        <v>0</v>
      </c>
    </row>
    <row r="9" spans="13:18" x14ac:dyDescent="0.25">
      <c r="M9" s="46">
        <f>$O$2</f>
        <v>0</v>
      </c>
      <c r="N9" s="47">
        <f>H6</f>
        <v>0</v>
      </c>
      <c r="O9" s="47">
        <f>I6</f>
        <v>0</v>
      </c>
      <c r="P9" s="47">
        <f>J6</f>
        <v>0</v>
      </c>
      <c r="Q9" s="47">
        <f>K6</f>
        <v>0</v>
      </c>
      <c r="R9" s="47">
        <f>L6</f>
        <v>0</v>
      </c>
    </row>
    <row r="10" spans="13:18" x14ac:dyDescent="0.25">
      <c r="M10" s="45" t="s">
        <v>42</v>
      </c>
      <c r="N10" s="48">
        <f>N9-N8</f>
        <v>0</v>
      </c>
      <c r="O10" s="48">
        <f>O9-O8</f>
        <v>0</v>
      </c>
      <c r="P10" s="48">
        <f>P9-P8</f>
        <v>0</v>
      </c>
      <c r="Q10" s="48">
        <f>Q9-Q8</f>
        <v>0</v>
      </c>
      <c r="R10" s="48">
        <f>R9-R8</f>
        <v>0</v>
      </c>
    </row>
    <row r="11" spans="13:18" x14ac:dyDescent="0.25">
      <c r="M11" s="43"/>
      <c r="N11" s="43"/>
      <c r="O11" s="43"/>
      <c r="P11" s="43"/>
      <c r="Q11" s="43"/>
      <c r="R11" s="43"/>
    </row>
    <row r="12" spans="13:18" x14ac:dyDescent="0.25">
      <c r="M12" s="44" t="s">
        <v>48</v>
      </c>
      <c r="N12" s="43"/>
      <c r="O12" s="43"/>
      <c r="P12" s="43"/>
      <c r="Q12" s="43"/>
      <c r="R12" s="43">
        <f>A7</f>
        <v>0</v>
      </c>
    </row>
    <row r="13" spans="13:18" x14ac:dyDescent="0.25">
      <c r="M13" s="45"/>
      <c r="N13" s="81" t="s">
        <v>30</v>
      </c>
      <c r="O13" s="81"/>
      <c r="P13" s="81" t="s">
        <v>31</v>
      </c>
      <c r="Q13" s="81"/>
      <c r="R13" s="82" t="s">
        <v>32</v>
      </c>
    </row>
    <row r="14" spans="13:18" x14ac:dyDescent="0.25">
      <c r="M14" s="45" t="s">
        <v>39</v>
      </c>
      <c r="N14" s="45" t="s">
        <v>40</v>
      </c>
      <c r="O14" s="45" t="s">
        <v>41</v>
      </c>
      <c r="P14" s="45" t="s">
        <v>40</v>
      </c>
      <c r="Q14" s="45" t="s">
        <v>41</v>
      </c>
      <c r="R14" s="83"/>
    </row>
    <row r="15" spans="13:18" x14ac:dyDescent="0.25">
      <c r="M15" s="46">
        <f>$N$2</f>
        <v>0</v>
      </c>
      <c r="N15" s="47">
        <f>B7</f>
        <v>0</v>
      </c>
      <c r="O15" s="47">
        <f>C7</f>
        <v>0</v>
      </c>
      <c r="P15" s="47">
        <f>D7</f>
        <v>0</v>
      </c>
      <c r="Q15" s="47">
        <f>E7</f>
        <v>0</v>
      </c>
      <c r="R15" s="47">
        <f>F7</f>
        <v>0</v>
      </c>
    </row>
    <row r="16" spans="13:18" x14ac:dyDescent="0.25">
      <c r="M16" s="46">
        <f>$O$2</f>
        <v>0</v>
      </c>
      <c r="N16" s="47">
        <f>H7</f>
        <v>0</v>
      </c>
      <c r="O16" s="47">
        <f>I7</f>
        <v>0</v>
      </c>
      <c r="P16" s="47">
        <f>J7</f>
        <v>0</v>
      </c>
      <c r="Q16" s="47">
        <f>K7</f>
        <v>0</v>
      </c>
      <c r="R16" s="47">
        <f>L7</f>
        <v>0</v>
      </c>
    </row>
    <row r="17" spans="13:18" x14ac:dyDescent="0.25">
      <c r="M17" s="45" t="s">
        <v>42</v>
      </c>
      <c r="N17" s="48">
        <f>N16-N15</f>
        <v>0</v>
      </c>
      <c r="O17" s="48">
        <f>O16-O15</f>
        <v>0</v>
      </c>
      <c r="P17" s="48">
        <f>P16-P15</f>
        <v>0</v>
      </c>
      <c r="Q17" s="48">
        <f>Q16-Q15</f>
        <v>0</v>
      </c>
      <c r="R17" s="48">
        <f>R16-R15</f>
        <v>0</v>
      </c>
    </row>
    <row r="18" spans="13:18" x14ac:dyDescent="0.25">
      <c r="M18" s="43"/>
      <c r="N18" s="43"/>
      <c r="O18" s="43"/>
      <c r="P18" s="43"/>
      <c r="Q18" s="43"/>
      <c r="R18" s="43"/>
    </row>
    <row r="19" spans="13:18" x14ac:dyDescent="0.25">
      <c r="M19" s="44" t="s">
        <v>49</v>
      </c>
      <c r="N19" s="43"/>
      <c r="O19" s="43"/>
      <c r="P19" s="43"/>
      <c r="Q19" s="43"/>
      <c r="R19" s="43">
        <f>A8</f>
        <v>0</v>
      </c>
    </row>
    <row r="20" spans="13:18" x14ac:dyDescent="0.25">
      <c r="M20" s="45"/>
      <c r="N20" s="81" t="s">
        <v>30</v>
      </c>
      <c r="O20" s="81"/>
      <c r="P20" s="81" t="s">
        <v>31</v>
      </c>
      <c r="Q20" s="81"/>
      <c r="R20" s="82" t="s">
        <v>32</v>
      </c>
    </row>
    <row r="21" spans="13:18" x14ac:dyDescent="0.25">
      <c r="M21" s="45" t="s">
        <v>39</v>
      </c>
      <c r="N21" s="45" t="s">
        <v>40</v>
      </c>
      <c r="O21" s="45" t="s">
        <v>41</v>
      </c>
      <c r="P21" s="45" t="s">
        <v>40</v>
      </c>
      <c r="Q21" s="45" t="s">
        <v>41</v>
      </c>
      <c r="R21" s="83"/>
    </row>
    <row r="22" spans="13:18" x14ac:dyDescent="0.25">
      <c r="M22" s="46">
        <f>$N$2</f>
        <v>0</v>
      </c>
      <c r="N22" s="47">
        <f>B8</f>
        <v>0</v>
      </c>
      <c r="O22" s="47">
        <f>C8</f>
        <v>0</v>
      </c>
      <c r="P22" s="47">
        <f>D8</f>
        <v>0</v>
      </c>
      <c r="Q22" s="47">
        <f>E8</f>
        <v>0</v>
      </c>
      <c r="R22" s="47">
        <f>F8</f>
        <v>0</v>
      </c>
    </row>
    <row r="23" spans="13:18" x14ac:dyDescent="0.25">
      <c r="M23" s="46">
        <f>$O$2</f>
        <v>0</v>
      </c>
      <c r="N23" s="47">
        <f>H8</f>
        <v>0</v>
      </c>
      <c r="O23" s="47">
        <f>I8</f>
        <v>0</v>
      </c>
      <c r="P23" s="47">
        <f>J8</f>
        <v>0</v>
      </c>
      <c r="Q23" s="47">
        <f>K8</f>
        <v>0</v>
      </c>
      <c r="R23" s="47">
        <f>L8</f>
        <v>0</v>
      </c>
    </row>
    <row r="24" spans="13:18" x14ac:dyDescent="0.25">
      <c r="M24" s="45" t="s">
        <v>42</v>
      </c>
      <c r="N24" s="48">
        <f>N23-N22</f>
        <v>0</v>
      </c>
      <c r="O24" s="48">
        <f>O23-O22</f>
        <v>0</v>
      </c>
      <c r="P24" s="48">
        <f>P23-P22</f>
        <v>0</v>
      </c>
      <c r="Q24" s="48">
        <f>Q23-Q22</f>
        <v>0</v>
      </c>
      <c r="R24" s="48">
        <f>R23-R22</f>
        <v>0</v>
      </c>
    </row>
    <row r="25" spans="13:18" ht="15.75" thickBot="1" x14ac:dyDescent="0.3">
      <c r="M25" s="43"/>
      <c r="N25" s="43"/>
      <c r="O25" s="43"/>
      <c r="P25" s="43"/>
      <c r="Q25" s="43"/>
      <c r="R25" s="43"/>
    </row>
    <row r="26" spans="13:18" ht="15.75" thickBot="1" x14ac:dyDescent="0.3">
      <c r="M26" s="49" t="s">
        <v>43</v>
      </c>
      <c r="N26" s="50">
        <f>N10+N17+N24</f>
        <v>0</v>
      </c>
      <c r="O26" s="50">
        <f>O10+O17+O24</f>
        <v>0</v>
      </c>
      <c r="P26" s="50">
        <f>P10+P17+P24</f>
        <v>0</v>
      </c>
      <c r="Q26" s="50">
        <f>Q10+Q17+Q24</f>
        <v>0</v>
      </c>
      <c r="R26" s="50">
        <f>R10+R17+R24</f>
        <v>0</v>
      </c>
    </row>
    <row r="27" spans="13:18" x14ac:dyDescent="0.25">
      <c r="M27" s="43"/>
      <c r="N27" s="43"/>
      <c r="O27" s="43"/>
      <c r="P27" s="43"/>
      <c r="Q27" s="43"/>
      <c r="R27" s="43"/>
    </row>
  </sheetData>
  <mergeCells count="9">
    <mergeCell ref="N20:O20"/>
    <mergeCell ref="P20:Q20"/>
    <mergeCell ref="R20:R21"/>
    <mergeCell ref="N6:O6"/>
    <mergeCell ref="P6:Q6"/>
    <mergeCell ref="R6:R7"/>
    <mergeCell ref="N13:O13"/>
    <mergeCell ref="P13:Q13"/>
    <mergeCell ref="R13:R14"/>
  </mergeCell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GobalER1"/>
  <dimension ref="A1:R166"/>
  <sheetViews>
    <sheetView showGridLines="0" topLeftCell="M7" workbookViewId="0">
      <selection activeCell="O17" sqref="O17"/>
    </sheetView>
  </sheetViews>
  <sheetFormatPr defaultRowHeight="15" x14ac:dyDescent="0.25"/>
  <cols>
    <col min="1" max="12" width="9.140625" hidden="1" customWidth="1"/>
    <col min="13" max="18" width="22.7109375" customWidth="1"/>
  </cols>
  <sheetData>
    <row r="1" spans="13:18" ht="24" thickBot="1" x14ac:dyDescent="0.4">
      <c r="M1" s="39" t="s">
        <v>35</v>
      </c>
      <c r="N1" s="40"/>
      <c r="O1" s="40"/>
      <c r="P1" s="40"/>
      <c r="Q1" s="40"/>
      <c r="R1" s="40"/>
    </row>
    <row r="2" spans="13:18" ht="15.75" x14ac:dyDescent="0.25">
      <c r="M2" s="41" t="s">
        <v>38</v>
      </c>
      <c r="N2" s="42"/>
      <c r="O2" s="42"/>
      <c r="P2" s="43"/>
      <c r="Q2" s="43"/>
      <c r="R2" s="43"/>
    </row>
    <row r="3" spans="13:18" x14ac:dyDescent="0.25">
      <c r="M3" s="43"/>
      <c r="N3" s="43"/>
      <c r="O3" s="43"/>
      <c r="P3" s="43"/>
      <c r="Q3" s="43"/>
      <c r="R3" s="43"/>
    </row>
    <row r="4" spans="13:18" ht="15.75" x14ac:dyDescent="0.25">
      <c r="M4" s="41" t="s">
        <v>36</v>
      </c>
      <c r="N4" s="43"/>
      <c r="O4" s="43"/>
      <c r="P4" s="43"/>
      <c r="Q4" s="43"/>
      <c r="R4" s="43"/>
    </row>
    <row r="5" spans="13:18" x14ac:dyDescent="0.25">
      <c r="M5" s="44" t="s">
        <v>37</v>
      </c>
      <c r="N5" s="43"/>
      <c r="O5" s="43"/>
      <c r="P5" s="43"/>
      <c r="Q5" s="43"/>
      <c r="R5" s="43">
        <f>A6</f>
        <v>0</v>
      </c>
    </row>
    <row r="6" spans="13:18" x14ac:dyDescent="0.25">
      <c r="M6" s="45"/>
      <c r="N6" s="81" t="s">
        <v>30</v>
      </c>
      <c r="O6" s="81"/>
      <c r="P6" s="81" t="s">
        <v>31</v>
      </c>
      <c r="Q6" s="81"/>
      <c r="R6" s="82" t="s">
        <v>32</v>
      </c>
    </row>
    <row r="7" spans="13:18" x14ac:dyDescent="0.25">
      <c r="M7" s="45" t="s">
        <v>39</v>
      </c>
      <c r="N7" s="45" t="s">
        <v>40</v>
      </c>
      <c r="O7" s="45" t="s">
        <v>41</v>
      </c>
      <c r="P7" s="45" t="s">
        <v>40</v>
      </c>
      <c r="Q7" s="45" t="s">
        <v>41</v>
      </c>
      <c r="R7" s="83"/>
    </row>
    <row r="8" spans="13:18" x14ac:dyDescent="0.25">
      <c r="M8" s="46">
        <f>$N$2</f>
        <v>0</v>
      </c>
      <c r="N8" s="47">
        <f>B6</f>
        <v>0</v>
      </c>
      <c r="O8" s="47">
        <f>C6</f>
        <v>0</v>
      </c>
      <c r="P8" s="47">
        <f>D6</f>
        <v>0</v>
      </c>
      <c r="Q8" s="47">
        <f>E6</f>
        <v>0</v>
      </c>
      <c r="R8" s="47">
        <f>F6</f>
        <v>0</v>
      </c>
    </row>
    <row r="9" spans="13:18" x14ac:dyDescent="0.25">
      <c r="M9" s="46">
        <f>$O$2</f>
        <v>0</v>
      </c>
      <c r="N9" s="47">
        <f>H6</f>
        <v>0</v>
      </c>
      <c r="O9" s="47">
        <f>I6</f>
        <v>0</v>
      </c>
      <c r="P9" s="47">
        <f>J6</f>
        <v>0</v>
      </c>
      <c r="Q9" s="47">
        <f>K6</f>
        <v>0</v>
      </c>
      <c r="R9" s="47">
        <f>L6</f>
        <v>0</v>
      </c>
    </row>
    <row r="10" spans="13:18" x14ac:dyDescent="0.25">
      <c r="M10" s="45" t="s">
        <v>42</v>
      </c>
      <c r="N10" s="48">
        <f>N9-N8</f>
        <v>0</v>
      </c>
      <c r="O10" s="48">
        <f>O9-O8</f>
        <v>0</v>
      </c>
      <c r="P10" s="48">
        <f>P9-P8</f>
        <v>0</v>
      </c>
      <c r="Q10" s="48">
        <f>Q9-Q8</f>
        <v>0</v>
      </c>
      <c r="R10" s="48">
        <f>R9-R8</f>
        <v>0</v>
      </c>
    </row>
    <row r="11" spans="13:18" x14ac:dyDescent="0.25">
      <c r="M11" s="43"/>
      <c r="N11" s="43"/>
      <c r="O11" s="43"/>
      <c r="P11" s="43"/>
      <c r="Q11" s="43"/>
      <c r="R11" s="43"/>
    </row>
    <row r="12" spans="13:18" x14ac:dyDescent="0.25">
      <c r="M12" s="44" t="s">
        <v>48</v>
      </c>
      <c r="N12" s="43"/>
      <c r="O12" s="43"/>
      <c r="P12" s="43"/>
      <c r="Q12" s="43"/>
      <c r="R12" s="43">
        <f>A7</f>
        <v>0</v>
      </c>
    </row>
    <row r="13" spans="13:18" x14ac:dyDescent="0.25">
      <c r="M13" s="45"/>
      <c r="N13" s="81" t="s">
        <v>30</v>
      </c>
      <c r="O13" s="81"/>
      <c r="P13" s="81" t="s">
        <v>31</v>
      </c>
      <c r="Q13" s="81"/>
      <c r="R13" s="82" t="s">
        <v>32</v>
      </c>
    </row>
    <row r="14" spans="13:18" x14ac:dyDescent="0.25">
      <c r="M14" s="45" t="s">
        <v>39</v>
      </c>
      <c r="N14" s="45" t="s">
        <v>40</v>
      </c>
      <c r="O14" s="45" t="s">
        <v>41</v>
      </c>
      <c r="P14" s="45" t="s">
        <v>40</v>
      </c>
      <c r="Q14" s="45" t="s">
        <v>41</v>
      </c>
      <c r="R14" s="83"/>
    </row>
    <row r="15" spans="13:18" x14ac:dyDescent="0.25">
      <c r="M15" s="46">
        <f>$N$2</f>
        <v>0</v>
      </c>
      <c r="N15" s="47">
        <f>B7</f>
        <v>0</v>
      </c>
      <c r="O15" s="47">
        <f>C7</f>
        <v>0</v>
      </c>
      <c r="P15" s="47">
        <f>D7</f>
        <v>0</v>
      </c>
      <c r="Q15" s="47">
        <f>E7</f>
        <v>0</v>
      </c>
      <c r="R15" s="47">
        <f>F7</f>
        <v>0</v>
      </c>
    </row>
    <row r="16" spans="13:18" x14ac:dyDescent="0.25">
      <c r="M16" s="46">
        <f>$O$2</f>
        <v>0</v>
      </c>
      <c r="N16" s="47">
        <f>H7</f>
        <v>0</v>
      </c>
      <c r="O16" s="47">
        <f>I7</f>
        <v>0</v>
      </c>
      <c r="P16" s="47">
        <f>J7</f>
        <v>0</v>
      </c>
      <c r="Q16" s="47">
        <f>K7</f>
        <v>0</v>
      </c>
      <c r="R16" s="47">
        <f>L7</f>
        <v>0</v>
      </c>
    </row>
    <row r="17" spans="13:18" x14ac:dyDescent="0.25">
      <c r="M17" s="45" t="s">
        <v>42</v>
      </c>
      <c r="N17" s="48">
        <f>N16-N15</f>
        <v>0</v>
      </c>
      <c r="O17" s="48">
        <f>O16-O15</f>
        <v>0</v>
      </c>
      <c r="P17" s="48">
        <f>P16-P15</f>
        <v>0</v>
      </c>
      <c r="Q17" s="48">
        <f>Q16-Q15</f>
        <v>0</v>
      </c>
      <c r="R17" s="48">
        <f>R16-R15</f>
        <v>0</v>
      </c>
    </row>
    <row r="18" spans="13:18" x14ac:dyDescent="0.25">
      <c r="M18" s="43"/>
      <c r="N18" s="43"/>
      <c r="O18" s="43"/>
      <c r="P18" s="43"/>
      <c r="Q18" s="43"/>
      <c r="R18" s="43"/>
    </row>
    <row r="19" spans="13:18" x14ac:dyDescent="0.25">
      <c r="M19" s="44" t="s">
        <v>49</v>
      </c>
      <c r="N19" s="43"/>
      <c r="O19" s="43"/>
      <c r="P19" s="43"/>
      <c r="Q19" s="43"/>
      <c r="R19" s="43">
        <f>A8</f>
        <v>0</v>
      </c>
    </row>
    <row r="20" spans="13:18" x14ac:dyDescent="0.25">
      <c r="M20" s="45"/>
      <c r="N20" s="81" t="s">
        <v>30</v>
      </c>
      <c r="O20" s="81"/>
      <c r="P20" s="81" t="s">
        <v>31</v>
      </c>
      <c r="Q20" s="81"/>
      <c r="R20" s="82" t="s">
        <v>32</v>
      </c>
    </row>
    <row r="21" spans="13:18" x14ac:dyDescent="0.25">
      <c r="M21" s="45" t="s">
        <v>39</v>
      </c>
      <c r="N21" s="45" t="s">
        <v>40</v>
      </c>
      <c r="O21" s="45" t="s">
        <v>41</v>
      </c>
      <c r="P21" s="45" t="s">
        <v>40</v>
      </c>
      <c r="Q21" s="45" t="s">
        <v>41</v>
      </c>
      <c r="R21" s="83"/>
    </row>
    <row r="22" spans="13:18" x14ac:dyDescent="0.25">
      <c r="M22" s="46">
        <f>$N$2</f>
        <v>0</v>
      </c>
      <c r="N22" s="47">
        <f>B8</f>
        <v>0</v>
      </c>
      <c r="O22" s="47">
        <f>C8</f>
        <v>0</v>
      </c>
      <c r="P22" s="47">
        <f>D8</f>
        <v>0</v>
      </c>
      <c r="Q22" s="47">
        <f>E8</f>
        <v>0</v>
      </c>
      <c r="R22" s="47">
        <f>F8</f>
        <v>0</v>
      </c>
    </row>
    <row r="23" spans="13:18" x14ac:dyDescent="0.25">
      <c r="M23" s="46">
        <f>$O$2</f>
        <v>0</v>
      </c>
      <c r="N23" s="47">
        <f>H8</f>
        <v>0</v>
      </c>
      <c r="O23" s="47">
        <f>I8</f>
        <v>0</v>
      </c>
      <c r="P23" s="47">
        <f>J8</f>
        <v>0</v>
      </c>
      <c r="Q23" s="47">
        <f>K8</f>
        <v>0</v>
      </c>
      <c r="R23" s="47">
        <f>L8</f>
        <v>0</v>
      </c>
    </row>
    <row r="24" spans="13:18" x14ac:dyDescent="0.25">
      <c r="M24" s="45" t="s">
        <v>42</v>
      </c>
      <c r="N24" s="48">
        <f>N23-N22</f>
        <v>0</v>
      </c>
      <c r="O24" s="48">
        <f>O23-O22</f>
        <v>0</v>
      </c>
      <c r="P24" s="48">
        <f>P23-P22</f>
        <v>0</v>
      </c>
      <c r="Q24" s="48">
        <f>Q23-Q22</f>
        <v>0</v>
      </c>
      <c r="R24" s="48">
        <f>R23-R22</f>
        <v>0</v>
      </c>
    </row>
    <row r="25" spans="13:18" ht="15.75" thickBot="1" x14ac:dyDescent="0.3">
      <c r="M25" s="43"/>
      <c r="N25" s="43"/>
      <c r="O25" s="43"/>
      <c r="P25" s="43"/>
      <c r="Q25" s="43"/>
      <c r="R25" s="43"/>
    </row>
    <row r="26" spans="13:18" ht="15.75" thickBot="1" x14ac:dyDescent="0.3">
      <c r="M26" s="49" t="s">
        <v>43</v>
      </c>
      <c r="N26" s="50">
        <f>N10+N17+N24</f>
        <v>0</v>
      </c>
      <c r="O26" s="50">
        <f>O10+O17+O24</f>
        <v>0</v>
      </c>
      <c r="P26" s="50">
        <f>P10+P17+P24</f>
        <v>0</v>
      </c>
      <c r="Q26" s="50">
        <f>Q10+Q17+Q24</f>
        <v>0</v>
      </c>
      <c r="R26" s="50">
        <f>R10+R17+R24</f>
        <v>0</v>
      </c>
    </row>
    <row r="27" spans="13:18" x14ac:dyDescent="0.25">
      <c r="M27" s="43"/>
      <c r="N27" s="43"/>
      <c r="O27" s="43"/>
      <c r="P27" s="43"/>
      <c r="Q27" s="43"/>
      <c r="R27" s="43"/>
    </row>
    <row r="28" spans="13:18" ht="15.75" x14ac:dyDescent="0.25">
      <c r="M28" s="41" t="s">
        <v>50</v>
      </c>
      <c r="N28" s="43"/>
      <c r="O28" s="43"/>
      <c r="P28" s="43"/>
      <c r="Q28" s="43"/>
      <c r="R28" s="43"/>
    </row>
    <row r="29" spans="13:18" x14ac:dyDescent="0.25">
      <c r="M29" s="44" t="s">
        <v>51</v>
      </c>
      <c r="N29" s="43"/>
      <c r="O29" s="43"/>
      <c r="P29" s="43"/>
      <c r="Q29" s="43"/>
      <c r="R29" s="43">
        <f>A9</f>
        <v>0</v>
      </c>
    </row>
    <row r="30" spans="13:18" x14ac:dyDescent="0.25">
      <c r="M30" s="45"/>
      <c r="N30" s="81" t="s">
        <v>30</v>
      </c>
      <c r="O30" s="81"/>
      <c r="P30" s="81" t="s">
        <v>31</v>
      </c>
      <c r="Q30" s="81"/>
      <c r="R30" s="82" t="s">
        <v>32</v>
      </c>
    </row>
    <row r="31" spans="13:18" x14ac:dyDescent="0.25">
      <c r="M31" s="45" t="s">
        <v>39</v>
      </c>
      <c r="N31" s="45" t="s">
        <v>40</v>
      </c>
      <c r="O31" s="45" t="s">
        <v>41</v>
      </c>
      <c r="P31" s="45" t="s">
        <v>40</v>
      </c>
      <c r="Q31" s="45" t="s">
        <v>41</v>
      </c>
      <c r="R31" s="83"/>
    </row>
    <row r="32" spans="13:18" x14ac:dyDescent="0.25">
      <c r="M32" s="46">
        <f>$N$2</f>
        <v>0</v>
      </c>
      <c r="N32" s="47">
        <f>B9/1000</f>
        <v>0</v>
      </c>
      <c r="O32" s="47">
        <f t="shared" ref="O32:R32" si="0">C9/1000</f>
        <v>0</v>
      </c>
      <c r="P32" s="47">
        <f t="shared" si="0"/>
        <v>0</v>
      </c>
      <c r="Q32" s="47">
        <f t="shared" si="0"/>
        <v>0</v>
      </c>
      <c r="R32" s="47">
        <f t="shared" si="0"/>
        <v>0</v>
      </c>
    </row>
    <row r="33" spans="13:18" x14ac:dyDescent="0.25">
      <c r="M33" s="46">
        <f>$O$2</f>
        <v>0</v>
      </c>
      <c r="N33" s="47">
        <f>H9/1000</f>
        <v>0</v>
      </c>
      <c r="O33" s="47">
        <f t="shared" ref="O33:R33" si="1">I9/1000</f>
        <v>0</v>
      </c>
      <c r="P33" s="47">
        <f t="shared" si="1"/>
        <v>0</v>
      </c>
      <c r="Q33" s="47">
        <f t="shared" si="1"/>
        <v>0</v>
      </c>
      <c r="R33" s="47">
        <f t="shared" si="1"/>
        <v>0</v>
      </c>
    </row>
    <row r="34" spans="13:18" x14ac:dyDescent="0.25">
      <c r="M34" s="45" t="s">
        <v>42</v>
      </c>
      <c r="N34" s="48">
        <f>N33-N32</f>
        <v>0</v>
      </c>
      <c r="O34" s="48">
        <f>O33-O32</f>
        <v>0</v>
      </c>
      <c r="P34" s="48">
        <f>P33-P32</f>
        <v>0</v>
      </c>
      <c r="Q34" s="48">
        <f>Q33-Q32</f>
        <v>0</v>
      </c>
      <c r="R34" s="48">
        <f>R33-R32</f>
        <v>0</v>
      </c>
    </row>
    <row r="35" spans="13:18" x14ac:dyDescent="0.25">
      <c r="M35" s="43"/>
      <c r="N35" s="43"/>
      <c r="O35" s="43"/>
      <c r="P35" s="43"/>
      <c r="Q35" s="43"/>
      <c r="R35" s="43"/>
    </row>
    <row r="36" spans="13:18" x14ac:dyDescent="0.25">
      <c r="M36" s="44" t="s">
        <v>52</v>
      </c>
      <c r="N36" s="43"/>
      <c r="O36" s="43"/>
      <c r="P36" s="43"/>
      <c r="Q36" s="43"/>
      <c r="R36" s="43">
        <f>A10</f>
        <v>0</v>
      </c>
    </row>
    <row r="37" spans="13:18" x14ac:dyDescent="0.25">
      <c r="M37" s="45"/>
      <c r="N37" s="81" t="s">
        <v>30</v>
      </c>
      <c r="O37" s="81"/>
      <c r="P37" s="81" t="s">
        <v>31</v>
      </c>
      <c r="Q37" s="81"/>
      <c r="R37" s="82" t="s">
        <v>32</v>
      </c>
    </row>
    <row r="38" spans="13:18" x14ac:dyDescent="0.25">
      <c r="M38" s="45" t="s">
        <v>39</v>
      </c>
      <c r="N38" s="45" t="s">
        <v>40</v>
      </c>
      <c r="O38" s="45" t="s">
        <v>41</v>
      </c>
      <c r="P38" s="45" t="s">
        <v>40</v>
      </c>
      <c r="Q38" s="45" t="s">
        <v>41</v>
      </c>
      <c r="R38" s="83"/>
    </row>
    <row r="39" spans="13:18" x14ac:dyDescent="0.25">
      <c r="M39" s="46">
        <f>$N$2</f>
        <v>0</v>
      </c>
      <c r="N39" s="47">
        <f>B10/1000</f>
        <v>0</v>
      </c>
      <c r="O39" s="47">
        <f t="shared" ref="O39:R39" si="2">C10/1000</f>
        <v>0</v>
      </c>
      <c r="P39" s="47">
        <f t="shared" si="2"/>
        <v>0</v>
      </c>
      <c r="Q39" s="47">
        <f t="shared" si="2"/>
        <v>0</v>
      </c>
      <c r="R39" s="47">
        <f t="shared" si="2"/>
        <v>0</v>
      </c>
    </row>
    <row r="40" spans="13:18" x14ac:dyDescent="0.25">
      <c r="M40" s="46">
        <f>$O$2</f>
        <v>0</v>
      </c>
      <c r="N40" s="47">
        <f>H10/1000</f>
        <v>0</v>
      </c>
      <c r="O40" s="47">
        <f t="shared" ref="O40:R40" si="3">I10/1000</f>
        <v>0</v>
      </c>
      <c r="P40" s="47">
        <f t="shared" si="3"/>
        <v>0</v>
      </c>
      <c r="Q40" s="47">
        <f t="shared" si="3"/>
        <v>0</v>
      </c>
      <c r="R40" s="47">
        <f t="shared" si="3"/>
        <v>0</v>
      </c>
    </row>
    <row r="41" spans="13:18" x14ac:dyDescent="0.25">
      <c r="M41" s="45" t="s">
        <v>42</v>
      </c>
      <c r="N41" s="48">
        <f>N40-N39</f>
        <v>0</v>
      </c>
      <c r="O41" s="48">
        <f>O40-O39</f>
        <v>0</v>
      </c>
      <c r="P41" s="48">
        <f>P40-P39</f>
        <v>0</v>
      </c>
      <c r="Q41" s="48">
        <f>Q40-Q39</f>
        <v>0</v>
      </c>
      <c r="R41" s="48">
        <f>R40-R39</f>
        <v>0</v>
      </c>
    </row>
    <row r="42" spans="13:18" x14ac:dyDescent="0.25">
      <c r="M42" s="43"/>
      <c r="N42" s="43"/>
      <c r="O42" s="43"/>
      <c r="P42" s="43"/>
      <c r="Q42" s="43"/>
      <c r="R42" s="43"/>
    </row>
    <row r="43" spans="13:18" x14ac:dyDescent="0.25">
      <c r="M43" s="44" t="s">
        <v>53</v>
      </c>
      <c r="N43" s="43"/>
      <c r="O43" s="43"/>
      <c r="P43" s="43"/>
      <c r="Q43" s="43"/>
      <c r="R43" s="43">
        <f>A11</f>
        <v>0</v>
      </c>
    </row>
    <row r="44" spans="13:18" x14ac:dyDescent="0.25">
      <c r="M44" s="45"/>
      <c r="N44" s="81" t="s">
        <v>30</v>
      </c>
      <c r="O44" s="81"/>
      <c r="P44" s="81" t="s">
        <v>31</v>
      </c>
      <c r="Q44" s="81"/>
      <c r="R44" s="82" t="s">
        <v>32</v>
      </c>
    </row>
    <row r="45" spans="13:18" x14ac:dyDescent="0.25">
      <c r="M45" s="45" t="s">
        <v>39</v>
      </c>
      <c r="N45" s="45" t="s">
        <v>40</v>
      </c>
      <c r="O45" s="45" t="s">
        <v>41</v>
      </c>
      <c r="P45" s="45" t="s">
        <v>40</v>
      </c>
      <c r="Q45" s="45" t="s">
        <v>41</v>
      </c>
      <c r="R45" s="83"/>
    </row>
    <row r="46" spans="13:18" x14ac:dyDescent="0.25">
      <c r="M46" s="46">
        <f>$N$2</f>
        <v>0</v>
      </c>
      <c r="N46" s="47">
        <f>B11/1000</f>
        <v>0</v>
      </c>
      <c r="O46" s="47">
        <f t="shared" ref="O46:R46" si="4">C11/1000</f>
        <v>0</v>
      </c>
      <c r="P46" s="47">
        <f t="shared" si="4"/>
        <v>0</v>
      </c>
      <c r="Q46" s="47">
        <f t="shared" si="4"/>
        <v>0</v>
      </c>
      <c r="R46" s="47">
        <f t="shared" si="4"/>
        <v>0</v>
      </c>
    </row>
    <row r="47" spans="13:18" x14ac:dyDescent="0.25">
      <c r="M47" s="46">
        <f>$O$2</f>
        <v>0</v>
      </c>
      <c r="N47" s="47">
        <f>H11/1000</f>
        <v>0</v>
      </c>
      <c r="O47" s="47">
        <f t="shared" ref="O47:R47" si="5">I11/1000</f>
        <v>0</v>
      </c>
      <c r="P47" s="47">
        <f t="shared" si="5"/>
        <v>0</v>
      </c>
      <c r="Q47" s="47">
        <f t="shared" si="5"/>
        <v>0</v>
      </c>
      <c r="R47" s="47">
        <f t="shared" si="5"/>
        <v>0</v>
      </c>
    </row>
    <row r="48" spans="13:18" x14ac:dyDescent="0.25">
      <c r="M48" s="45" t="s">
        <v>42</v>
      </c>
      <c r="N48" s="48">
        <f>N47-N46</f>
        <v>0</v>
      </c>
      <c r="O48" s="48">
        <f>O47-O46</f>
        <v>0</v>
      </c>
      <c r="P48" s="48">
        <f>P47-P46</f>
        <v>0</v>
      </c>
      <c r="Q48" s="48">
        <f>Q47-Q46</f>
        <v>0</v>
      </c>
      <c r="R48" s="48">
        <f>R47-R46</f>
        <v>0</v>
      </c>
    </row>
    <row r="49" spans="13:18" x14ac:dyDescent="0.25">
      <c r="M49" s="43"/>
      <c r="N49" s="43"/>
      <c r="O49" s="43"/>
      <c r="P49" s="43"/>
      <c r="Q49" s="43"/>
      <c r="R49" s="43"/>
    </row>
    <row r="50" spans="13:18" x14ac:dyDescent="0.25">
      <c r="M50" s="44" t="s">
        <v>54</v>
      </c>
      <c r="N50" s="43"/>
      <c r="O50" s="43"/>
      <c r="P50" s="43"/>
      <c r="Q50" s="43"/>
      <c r="R50" s="43">
        <f>A12</f>
        <v>0</v>
      </c>
    </row>
    <row r="51" spans="13:18" x14ac:dyDescent="0.25">
      <c r="M51" s="45"/>
      <c r="N51" s="81" t="s">
        <v>30</v>
      </c>
      <c r="O51" s="81"/>
      <c r="P51" s="81" t="s">
        <v>31</v>
      </c>
      <c r="Q51" s="81"/>
      <c r="R51" s="82" t="s">
        <v>32</v>
      </c>
    </row>
    <row r="52" spans="13:18" x14ac:dyDescent="0.25">
      <c r="M52" s="45" t="s">
        <v>39</v>
      </c>
      <c r="N52" s="45" t="s">
        <v>40</v>
      </c>
      <c r="O52" s="45" t="s">
        <v>41</v>
      </c>
      <c r="P52" s="45" t="s">
        <v>40</v>
      </c>
      <c r="Q52" s="45" t="s">
        <v>41</v>
      </c>
      <c r="R52" s="83"/>
    </row>
    <row r="53" spans="13:18" x14ac:dyDescent="0.25">
      <c r="M53" s="46">
        <f>$N$2</f>
        <v>0</v>
      </c>
      <c r="N53" s="47">
        <f>B12/1000</f>
        <v>0</v>
      </c>
      <c r="O53" s="47">
        <f t="shared" ref="O53:R53" si="6">C12/1000</f>
        <v>0</v>
      </c>
      <c r="P53" s="47">
        <f t="shared" si="6"/>
        <v>0</v>
      </c>
      <c r="Q53" s="47">
        <f t="shared" si="6"/>
        <v>0</v>
      </c>
      <c r="R53" s="47">
        <f t="shared" si="6"/>
        <v>0</v>
      </c>
    </row>
    <row r="54" spans="13:18" x14ac:dyDescent="0.25">
      <c r="M54" s="46">
        <f>$O$2</f>
        <v>0</v>
      </c>
      <c r="N54" s="47">
        <f>H12/1000</f>
        <v>0</v>
      </c>
      <c r="O54" s="47">
        <f t="shared" ref="O54:R54" si="7">I12/1000</f>
        <v>0</v>
      </c>
      <c r="P54" s="47">
        <f t="shared" si="7"/>
        <v>0</v>
      </c>
      <c r="Q54" s="47">
        <f t="shared" si="7"/>
        <v>0</v>
      </c>
      <c r="R54" s="47">
        <f t="shared" si="7"/>
        <v>0</v>
      </c>
    </row>
    <row r="55" spans="13:18" x14ac:dyDescent="0.25">
      <c r="M55" s="45" t="s">
        <v>42</v>
      </c>
      <c r="N55" s="48">
        <f>N54-N53</f>
        <v>0</v>
      </c>
      <c r="O55" s="48">
        <f>O54-O53</f>
        <v>0</v>
      </c>
      <c r="P55" s="48">
        <f>P54-P53</f>
        <v>0</v>
      </c>
      <c r="Q55" s="48">
        <f>Q54-Q53</f>
        <v>0</v>
      </c>
      <c r="R55" s="48">
        <f>R54-R53</f>
        <v>0</v>
      </c>
    </row>
    <row r="56" spans="13:18" ht="15.75" thickBot="1" x14ac:dyDescent="0.3">
      <c r="M56" s="43"/>
      <c r="N56" s="43"/>
      <c r="O56" s="43"/>
      <c r="P56" s="43"/>
      <c r="Q56" s="43"/>
      <c r="R56" s="43"/>
    </row>
    <row r="57" spans="13:18" ht="15.75" thickBot="1" x14ac:dyDescent="0.3">
      <c r="M57" s="49" t="s">
        <v>44</v>
      </c>
      <c r="N57" s="50">
        <f>N34+N41+N48+N55</f>
        <v>0</v>
      </c>
      <c r="O57" s="50">
        <f>O34+O41+O48+O55</f>
        <v>0</v>
      </c>
      <c r="P57" s="50">
        <f>P34+P41+P48+P55</f>
        <v>0</v>
      </c>
      <c r="Q57" s="50">
        <f>Q34+Q41+Q48+Q55</f>
        <v>0</v>
      </c>
      <c r="R57" s="50">
        <f>R34+R41+R48+R55</f>
        <v>0</v>
      </c>
    </row>
    <row r="58" spans="13:18" x14ac:dyDescent="0.25">
      <c r="M58" s="43"/>
      <c r="N58" s="43"/>
      <c r="O58" s="43"/>
      <c r="P58" s="43"/>
      <c r="Q58" s="43"/>
      <c r="R58" s="43"/>
    </row>
    <row r="59" spans="13:18" ht="15.75" x14ac:dyDescent="0.25">
      <c r="M59" s="41" t="s">
        <v>55</v>
      </c>
      <c r="N59" s="43"/>
      <c r="O59" s="43"/>
      <c r="P59" s="43"/>
      <c r="Q59" s="43"/>
      <c r="R59" s="43"/>
    </row>
    <row r="60" spans="13:18" x14ac:dyDescent="0.25">
      <c r="M60" s="44" t="s">
        <v>56</v>
      </c>
      <c r="N60" s="43"/>
      <c r="O60" s="43"/>
      <c r="P60" s="43"/>
      <c r="Q60" s="43"/>
      <c r="R60" s="43">
        <f>A13</f>
        <v>0</v>
      </c>
    </row>
    <row r="61" spans="13:18" x14ac:dyDescent="0.25">
      <c r="M61" s="45"/>
      <c r="N61" s="81" t="s">
        <v>30</v>
      </c>
      <c r="O61" s="81"/>
      <c r="P61" s="81" t="s">
        <v>31</v>
      </c>
      <c r="Q61" s="81"/>
      <c r="R61" s="82" t="s">
        <v>32</v>
      </c>
    </row>
    <row r="62" spans="13:18" x14ac:dyDescent="0.25">
      <c r="M62" s="45" t="s">
        <v>39</v>
      </c>
      <c r="N62" s="45" t="s">
        <v>40</v>
      </c>
      <c r="O62" s="45" t="s">
        <v>41</v>
      </c>
      <c r="P62" s="45" t="s">
        <v>40</v>
      </c>
      <c r="Q62" s="45" t="s">
        <v>41</v>
      </c>
      <c r="R62" s="83"/>
    </row>
    <row r="63" spans="13:18" x14ac:dyDescent="0.25">
      <c r="M63" s="46">
        <f>$N$2</f>
        <v>0</v>
      </c>
      <c r="N63" s="47">
        <f>B13/1000</f>
        <v>0</v>
      </c>
      <c r="O63" s="47">
        <f t="shared" ref="O63:R63" si="8">C13/1000</f>
        <v>0</v>
      </c>
      <c r="P63" s="47">
        <f t="shared" si="8"/>
        <v>0</v>
      </c>
      <c r="Q63" s="47">
        <f t="shared" si="8"/>
        <v>0</v>
      </c>
      <c r="R63" s="47">
        <f t="shared" si="8"/>
        <v>0</v>
      </c>
    </row>
    <row r="64" spans="13:18" x14ac:dyDescent="0.25">
      <c r="M64" s="46">
        <f>$O$2</f>
        <v>0</v>
      </c>
      <c r="N64" s="47">
        <f>H13/1000</f>
        <v>0</v>
      </c>
      <c r="O64" s="47">
        <f t="shared" ref="O64:R64" si="9">I13/1000</f>
        <v>0</v>
      </c>
      <c r="P64" s="47">
        <f t="shared" si="9"/>
        <v>0</v>
      </c>
      <c r="Q64" s="47">
        <f t="shared" si="9"/>
        <v>0</v>
      </c>
      <c r="R64" s="47">
        <f t="shared" si="9"/>
        <v>0</v>
      </c>
    </row>
    <row r="65" spans="13:18" x14ac:dyDescent="0.25">
      <c r="M65" s="45" t="s">
        <v>42</v>
      </c>
      <c r="N65" s="48">
        <f>N64-N63</f>
        <v>0</v>
      </c>
      <c r="O65" s="48">
        <f>O64-O63</f>
        <v>0</v>
      </c>
      <c r="P65" s="48">
        <f>P64-P63</f>
        <v>0</v>
      </c>
      <c r="Q65" s="48">
        <f>Q64-Q63</f>
        <v>0</v>
      </c>
      <c r="R65" s="48">
        <f>R64-R63</f>
        <v>0</v>
      </c>
    </row>
    <row r="66" spans="13:18" x14ac:dyDescent="0.25">
      <c r="M66" s="43"/>
      <c r="N66" s="43"/>
      <c r="O66" s="43"/>
      <c r="P66" s="43"/>
      <c r="Q66" s="43"/>
      <c r="R66" s="43"/>
    </row>
    <row r="67" spans="13:18" x14ac:dyDescent="0.25">
      <c r="M67" s="44" t="s">
        <v>57</v>
      </c>
      <c r="N67" s="43"/>
      <c r="O67" s="43"/>
      <c r="P67" s="43"/>
      <c r="Q67" s="43"/>
      <c r="R67" s="43">
        <f>A14</f>
        <v>0</v>
      </c>
    </row>
    <row r="68" spans="13:18" x14ac:dyDescent="0.25">
      <c r="M68" s="45"/>
      <c r="N68" s="81" t="s">
        <v>30</v>
      </c>
      <c r="O68" s="81"/>
      <c r="P68" s="81" t="s">
        <v>31</v>
      </c>
      <c r="Q68" s="81"/>
      <c r="R68" s="82" t="s">
        <v>32</v>
      </c>
    </row>
    <row r="69" spans="13:18" x14ac:dyDescent="0.25">
      <c r="M69" s="45" t="s">
        <v>39</v>
      </c>
      <c r="N69" s="45" t="s">
        <v>40</v>
      </c>
      <c r="O69" s="45" t="s">
        <v>41</v>
      </c>
      <c r="P69" s="45" t="s">
        <v>40</v>
      </c>
      <c r="Q69" s="45" t="s">
        <v>41</v>
      </c>
      <c r="R69" s="83"/>
    </row>
    <row r="70" spans="13:18" x14ac:dyDescent="0.25">
      <c r="M70" s="46">
        <f>$N$2</f>
        <v>0</v>
      </c>
      <c r="N70" s="47">
        <f>B14/1000</f>
        <v>0</v>
      </c>
      <c r="O70" s="47">
        <f t="shared" ref="O70:R70" si="10">C14/1000</f>
        <v>0</v>
      </c>
      <c r="P70" s="47">
        <f t="shared" si="10"/>
        <v>0</v>
      </c>
      <c r="Q70" s="47">
        <f t="shared" si="10"/>
        <v>0</v>
      </c>
      <c r="R70" s="47">
        <f t="shared" si="10"/>
        <v>0</v>
      </c>
    </row>
    <row r="71" spans="13:18" x14ac:dyDescent="0.25">
      <c r="M71" s="46">
        <f>$O$2</f>
        <v>0</v>
      </c>
      <c r="N71" s="47">
        <f>H14/1000</f>
        <v>0</v>
      </c>
      <c r="O71" s="47">
        <f t="shared" ref="O71:R71" si="11">I14/1000</f>
        <v>0</v>
      </c>
      <c r="P71" s="47">
        <f t="shared" si="11"/>
        <v>0</v>
      </c>
      <c r="Q71" s="47">
        <f t="shared" si="11"/>
        <v>0</v>
      </c>
      <c r="R71" s="47">
        <f t="shared" si="11"/>
        <v>0</v>
      </c>
    </row>
    <row r="72" spans="13:18" x14ac:dyDescent="0.25">
      <c r="M72" s="45" t="s">
        <v>42</v>
      </c>
      <c r="N72" s="48">
        <f>N71-N70</f>
        <v>0</v>
      </c>
      <c r="O72" s="48">
        <f>O71-O70</f>
        <v>0</v>
      </c>
      <c r="P72" s="48">
        <f>P71-P70</f>
        <v>0</v>
      </c>
      <c r="Q72" s="48">
        <f>Q71-Q70</f>
        <v>0</v>
      </c>
      <c r="R72" s="48">
        <f>R71-R70</f>
        <v>0</v>
      </c>
    </row>
    <row r="73" spans="13:18" x14ac:dyDescent="0.25">
      <c r="M73" s="43"/>
      <c r="N73" s="43"/>
      <c r="O73" s="43"/>
      <c r="P73" s="43"/>
      <c r="Q73" s="43"/>
      <c r="R73" s="43"/>
    </row>
    <row r="74" spans="13:18" x14ac:dyDescent="0.25">
      <c r="M74" s="44" t="s">
        <v>58</v>
      </c>
      <c r="N74" s="43"/>
      <c r="O74" s="43"/>
      <c r="P74" s="43"/>
      <c r="Q74" s="43"/>
      <c r="R74" s="43">
        <f>A15</f>
        <v>0</v>
      </c>
    </row>
    <row r="75" spans="13:18" x14ac:dyDescent="0.25">
      <c r="M75" s="45"/>
      <c r="N75" s="81" t="s">
        <v>30</v>
      </c>
      <c r="O75" s="81"/>
      <c r="P75" s="81" t="s">
        <v>31</v>
      </c>
      <c r="Q75" s="81"/>
      <c r="R75" s="82" t="s">
        <v>32</v>
      </c>
    </row>
    <row r="76" spans="13:18" x14ac:dyDescent="0.25">
      <c r="M76" s="45" t="s">
        <v>39</v>
      </c>
      <c r="N76" s="45" t="s">
        <v>40</v>
      </c>
      <c r="O76" s="45" t="s">
        <v>41</v>
      </c>
      <c r="P76" s="45" t="s">
        <v>40</v>
      </c>
      <c r="Q76" s="45" t="s">
        <v>41</v>
      </c>
      <c r="R76" s="83"/>
    </row>
    <row r="77" spans="13:18" x14ac:dyDescent="0.25">
      <c r="M77" s="46">
        <f>$N$2</f>
        <v>0</v>
      </c>
      <c r="N77" s="47">
        <f>B15/1000</f>
        <v>0</v>
      </c>
      <c r="O77" s="47">
        <f t="shared" ref="O77:R77" si="12">C15/1000</f>
        <v>0</v>
      </c>
      <c r="P77" s="47">
        <f t="shared" si="12"/>
        <v>0</v>
      </c>
      <c r="Q77" s="47">
        <f t="shared" si="12"/>
        <v>0</v>
      </c>
      <c r="R77" s="47">
        <f t="shared" si="12"/>
        <v>0</v>
      </c>
    </row>
    <row r="78" spans="13:18" x14ac:dyDescent="0.25">
      <c r="M78" s="46">
        <f>$O$2</f>
        <v>0</v>
      </c>
      <c r="N78" s="47">
        <f>H15/1000</f>
        <v>0</v>
      </c>
      <c r="O78" s="47">
        <f t="shared" ref="O78:R78" si="13">I15/1000</f>
        <v>0</v>
      </c>
      <c r="P78" s="47">
        <f t="shared" si="13"/>
        <v>0</v>
      </c>
      <c r="Q78" s="47">
        <f t="shared" si="13"/>
        <v>0</v>
      </c>
      <c r="R78" s="47">
        <f t="shared" si="13"/>
        <v>0</v>
      </c>
    </row>
    <row r="79" spans="13:18" x14ac:dyDescent="0.25">
      <c r="M79" s="45" t="s">
        <v>42</v>
      </c>
      <c r="N79" s="48">
        <f>N78-N77</f>
        <v>0</v>
      </c>
      <c r="O79" s="48">
        <f>O78-O77</f>
        <v>0</v>
      </c>
      <c r="P79" s="48">
        <f>P78-P77</f>
        <v>0</v>
      </c>
      <c r="Q79" s="48">
        <f>Q78-Q77</f>
        <v>0</v>
      </c>
      <c r="R79" s="48">
        <f>R78-R77</f>
        <v>0</v>
      </c>
    </row>
    <row r="80" spans="13:18" x14ac:dyDescent="0.25">
      <c r="M80" s="43"/>
      <c r="N80" s="43"/>
      <c r="O80" s="43"/>
      <c r="P80" s="43"/>
      <c r="Q80" s="43"/>
      <c r="R80" s="43"/>
    </row>
    <row r="81" spans="13:18" x14ac:dyDescent="0.25">
      <c r="M81" s="44" t="s">
        <v>59</v>
      </c>
      <c r="N81" s="43"/>
      <c r="O81" s="43"/>
      <c r="P81" s="43"/>
      <c r="Q81" s="43"/>
      <c r="R81" s="43">
        <f>A16</f>
        <v>0</v>
      </c>
    </row>
    <row r="82" spans="13:18" x14ac:dyDescent="0.25">
      <c r="M82" s="45"/>
      <c r="N82" s="81" t="s">
        <v>30</v>
      </c>
      <c r="O82" s="81"/>
      <c r="P82" s="81" t="s">
        <v>31</v>
      </c>
      <c r="Q82" s="81"/>
      <c r="R82" s="82" t="s">
        <v>32</v>
      </c>
    </row>
    <row r="83" spans="13:18" x14ac:dyDescent="0.25">
      <c r="M83" s="45" t="s">
        <v>39</v>
      </c>
      <c r="N83" s="45" t="s">
        <v>40</v>
      </c>
      <c r="O83" s="45" t="s">
        <v>41</v>
      </c>
      <c r="P83" s="45" t="s">
        <v>40</v>
      </c>
      <c r="Q83" s="45" t="s">
        <v>41</v>
      </c>
      <c r="R83" s="83"/>
    </row>
    <row r="84" spans="13:18" x14ac:dyDescent="0.25">
      <c r="M84" s="46">
        <f>$N$2</f>
        <v>0</v>
      </c>
      <c r="N84" s="47">
        <f>B16/1000</f>
        <v>0</v>
      </c>
      <c r="O84" s="47">
        <f t="shared" ref="O84:R84" si="14">C16/1000</f>
        <v>0</v>
      </c>
      <c r="P84" s="47">
        <f t="shared" si="14"/>
        <v>0</v>
      </c>
      <c r="Q84" s="47">
        <f t="shared" si="14"/>
        <v>0</v>
      </c>
      <c r="R84" s="47">
        <f t="shared" si="14"/>
        <v>0</v>
      </c>
    </row>
    <row r="85" spans="13:18" x14ac:dyDescent="0.25">
      <c r="M85" s="46">
        <f>$O$2</f>
        <v>0</v>
      </c>
      <c r="N85" s="47">
        <f>H16/1000</f>
        <v>0</v>
      </c>
      <c r="O85" s="47">
        <f t="shared" ref="O85:R85" si="15">I16/1000</f>
        <v>0</v>
      </c>
      <c r="P85" s="47">
        <f t="shared" si="15"/>
        <v>0</v>
      </c>
      <c r="Q85" s="47">
        <f t="shared" si="15"/>
        <v>0</v>
      </c>
      <c r="R85" s="47">
        <f t="shared" si="15"/>
        <v>0</v>
      </c>
    </row>
    <row r="86" spans="13:18" x14ac:dyDescent="0.25">
      <c r="M86" s="45" t="s">
        <v>42</v>
      </c>
      <c r="N86" s="48">
        <f>N85-N84</f>
        <v>0</v>
      </c>
      <c r="O86" s="48">
        <f>O85-O84</f>
        <v>0</v>
      </c>
      <c r="P86" s="48">
        <f>P85-P84</f>
        <v>0</v>
      </c>
      <c r="Q86" s="48">
        <f>Q85-Q84</f>
        <v>0</v>
      </c>
      <c r="R86" s="48">
        <f>R85-R84</f>
        <v>0</v>
      </c>
    </row>
    <row r="87" spans="13:18" x14ac:dyDescent="0.25">
      <c r="M87" s="43"/>
      <c r="N87" s="43"/>
      <c r="O87" s="43"/>
      <c r="P87" s="43"/>
      <c r="Q87" s="43"/>
      <c r="R87" s="43"/>
    </row>
    <row r="88" spans="13:18" x14ac:dyDescent="0.25">
      <c r="M88" s="44" t="s">
        <v>60</v>
      </c>
      <c r="N88" s="43"/>
      <c r="O88" s="43"/>
      <c r="P88" s="43"/>
      <c r="Q88" s="43"/>
      <c r="R88" s="43">
        <f>A17</f>
        <v>0</v>
      </c>
    </row>
    <row r="89" spans="13:18" x14ac:dyDescent="0.25">
      <c r="M89" s="45"/>
      <c r="N89" s="81" t="s">
        <v>30</v>
      </c>
      <c r="O89" s="81"/>
      <c r="P89" s="81" t="s">
        <v>31</v>
      </c>
      <c r="Q89" s="81"/>
      <c r="R89" s="82" t="s">
        <v>32</v>
      </c>
    </row>
    <row r="90" spans="13:18" x14ac:dyDescent="0.25">
      <c r="M90" s="45" t="s">
        <v>39</v>
      </c>
      <c r="N90" s="45" t="s">
        <v>40</v>
      </c>
      <c r="O90" s="45" t="s">
        <v>41</v>
      </c>
      <c r="P90" s="45" t="s">
        <v>40</v>
      </c>
      <c r="Q90" s="45" t="s">
        <v>41</v>
      </c>
      <c r="R90" s="83"/>
    </row>
    <row r="91" spans="13:18" x14ac:dyDescent="0.25">
      <c r="M91" s="46">
        <f>$N$2</f>
        <v>0</v>
      </c>
      <c r="N91" s="47">
        <f>B17/1000</f>
        <v>0</v>
      </c>
      <c r="O91" s="47">
        <f t="shared" ref="O91:R91" si="16">C17/1000</f>
        <v>0</v>
      </c>
      <c r="P91" s="47">
        <f t="shared" si="16"/>
        <v>0</v>
      </c>
      <c r="Q91" s="47">
        <f t="shared" si="16"/>
        <v>0</v>
      </c>
      <c r="R91" s="47">
        <f t="shared" si="16"/>
        <v>0</v>
      </c>
    </row>
    <row r="92" spans="13:18" x14ac:dyDescent="0.25">
      <c r="M92" s="46">
        <f>$O$2</f>
        <v>0</v>
      </c>
      <c r="N92" s="47">
        <f>H17/1000</f>
        <v>0</v>
      </c>
      <c r="O92" s="47">
        <f t="shared" ref="O92:R92" si="17">I17/1000</f>
        <v>0</v>
      </c>
      <c r="P92" s="47">
        <f t="shared" si="17"/>
        <v>0</v>
      </c>
      <c r="Q92" s="47">
        <f t="shared" si="17"/>
        <v>0</v>
      </c>
      <c r="R92" s="47">
        <f t="shared" si="17"/>
        <v>0</v>
      </c>
    </row>
    <row r="93" spans="13:18" x14ac:dyDescent="0.25">
      <c r="M93" s="45" t="s">
        <v>42</v>
      </c>
      <c r="N93" s="48">
        <f>N92-N91</f>
        <v>0</v>
      </c>
      <c r="O93" s="48">
        <f>O92-O91</f>
        <v>0</v>
      </c>
      <c r="P93" s="48">
        <f>P92-P91</f>
        <v>0</v>
      </c>
      <c r="Q93" s="48">
        <f>Q92-Q91</f>
        <v>0</v>
      </c>
      <c r="R93" s="48">
        <f>R92-R91</f>
        <v>0</v>
      </c>
    </row>
    <row r="94" spans="13:18" x14ac:dyDescent="0.25">
      <c r="M94" s="43"/>
      <c r="N94" s="43"/>
      <c r="O94" s="43"/>
      <c r="P94" s="43"/>
      <c r="Q94" s="43"/>
      <c r="R94" s="43"/>
    </row>
    <row r="95" spans="13:18" x14ac:dyDescent="0.25">
      <c r="M95" s="44" t="s">
        <v>61</v>
      </c>
      <c r="N95" s="43"/>
      <c r="O95" s="43"/>
      <c r="P95" s="43"/>
      <c r="Q95" s="43"/>
      <c r="R95" s="43">
        <f>A18</f>
        <v>0</v>
      </c>
    </row>
    <row r="96" spans="13:18" x14ac:dyDescent="0.25">
      <c r="M96" s="45"/>
      <c r="N96" s="81" t="s">
        <v>30</v>
      </c>
      <c r="O96" s="81"/>
      <c r="P96" s="81" t="s">
        <v>31</v>
      </c>
      <c r="Q96" s="81"/>
      <c r="R96" s="82" t="s">
        <v>32</v>
      </c>
    </row>
    <row r="97" spans="13:18" x14ac:dyDescent="0.25">
      <c r="M97" s="45" t="s">
        <v>39</v>
      </c>
      <c r="N97" s="45" t="s">
        <v>40</v>
      </c>
      <c r="O97" s="45" t="s">
        <v>41</v>
      </c>
      <c r="P97" s="45" t="s">
        <v>40</v>
      </c>
      <c r="Q97" s="45" t="s">
        <v>41</v>
      </c>
      <c r="R97" s="83"/>
    </row>
    <row r="98" spans="13:18" x14ac:dyDescent="0.25">
      <c r="M98" s="46">
        <f>$N$2</f>
        <v>0</v>
      </c>
      <c r="N98" s="47">
        <f>B18/1000</f>
        <v>0</v>
      </c>
      <c r="O98" s="47">
        <f t="shared" ref="O98:R98" si="18">C18/1000</f>
        <v>0</v>
      </c>
      <c r="P98" s="47">
        <f t="shared" si="18"/>
        <v>0</v>
      </c>
      <c r="Q98" s="47">
        <f t="shared" si="18"/>
        <v>0</v>
      </c>
      <c r="R98" s="47">
        <f t="shared" si="18"/>
        <v>0</v>
      </c>
    </row>
    <row r="99" spans="13:18" x14ac:dyDescent="0.25">
      <c r="M99" s="46">
        <f>$O$2</f>
        <v>0</v>
      </c>
      <c r="N99" s="47">
        <f>H18/1000</f>
        <v>0</v>
      </c>
      <c r="O99" s="47">
        <f t="shared" ref="O99:R99" si="19">I18/1000</f>
        <v>0</v>
      </c>
      <c r="P99" s="47">
        <f t="shared" si="19"/>
        <v>0</v>
      </c>
      <c r="Q99" s="47">
        <f t="shared" si="19"/>
        <v>0</v>
      </c>
      <c r="R99" s="47">
        <f t="shared" si="19"/>
        <v>0</v>
      </c>
    </row>
    <row r="100" spans="13:18" x14ac:dyDescent="0.25">
      <c r="M100" s="45" t="s">
        <v>42</v>
      </c>
      <c r="N100" s="48">
        <f>N99-N98</f>
        <v>0</v>
      </c>
      <c r="O100" s="48">
        <f>O99-O98</f>
        <v>0</v>
      </c>
      <c r="P100" s="48">
        <f>P99-P98</f>
        <v>0</v>
      </c>
      <c r="Q100" s="48">
        <f>Q99-Q98</f>
        <v>0</v>
      </c>
      <c r="R100" s="48">
        <f>R99-R98</f>
        <v>0</v>
      </c>
    </row>
    <row r="101" spans="13:18" ht="15.75" thickBot="1" x14ac:dyDescent="0.3">
      <c r="M101" s="43"/>
      <c r="N101" s="43"/>
      <c r="O101" s="43"/>
      <c r="P101" s="43"/>
      <c r="Q101" s="43"/>
      <c r="R101" s="43"/>
    </row>
    <row r="102" spans="13:18" ht="15.75" thickBot="1" x14ac:dyDescent="0.3">
      <c r="M102" s="49" t="s">
        <v>45</v>
      </c>
      <c r="N102" s="50">
        <f>N65+N72+N79+N86+N93+N100</f>
        <v>0</v>
      </c>
      <c r="O102" s="50">
        <f>O65+O72+O79+O86+O93+O100</f>
        <v>0</v>
      </c>
      <c r="P102" s="50">
        <f>P65+P72+P79+P86+P93+P100</f>
        <v>0</v>
      </c>
      <c r="Q102" s="50">
        <f>Q65+Q72+Q79+Q86+Q93+Q100</f>
        <v>0</v>
      </c>
      <c r="R102" s="50">
        <f>R65+R72+R79+R86+R93+R100</f>
        <v>0</v>
      </c>
    </row>
    <row r="103" spans="13:18" x14ac:dyDescent="0.25">
      <c r="M103" s="43"/>
      <c r="N103" s="43"/>
      <c r="O103" s="43"/>
      <c r="P103" s="43"/>
      <c r="Q103" s="43"/>
      <c r="R103" s="43"/>
    </row>
    <row r="104" spans="13:18" ht="15.75" x14ac:dyDescent="0.25">
      <c r="M104" s="41" t="s">
        <v>62</v>
      </c>
      <c r="N104" s="43"/>
      <c r="O104" s="43"/>
      <c r="P104" s="43"/>
      <c r="Q104" s="43"/>
      <c r="R104" s="43"/>
    </row>
    <row r="105" spans="13:18" x14ac:dyDescent="0.25">
      <c r="M105" s="44" t="s">
        <v>63</v>
      </c>
      <c r="N105" s="43"/>
      <c r="O105" s="43"/>
      <c r="P105" s="43"/>
      <c r="Q105" s="43"/>
      <c r="R105" s="43">
        <f>A19</f>
        <v>0</v>
      </c>
    </row>
    <row r="106" spans="13:18" x14ac:dyDescent="0.25">
      <c r="M106" s="45"/>
      <c r="N106" s="81" t="s">
        <v>30</v>
      </c>
      <c r="O106" s="81"/>
      <c r="P106" s="81" t="s">
        <v>31</v>
      </c>
      <c r="Q106" s="81"/>
      <c r="R106" s="82" t="s">
        <v>32</v>
      </c>
    </row>
    <row r="107" spans="13:18" x14ac:dyDescent="0.25">
      <c r="M107" s="45" t="s">
        <v>39</v>
      </c>
      <c r="N107" s="45" t="s">
        <v>40</v>
      </c>
      <c r="O107" s="45" t="s">
        <v>41</v>
      </c>
      <c r="P107" s="45" t="s">
        <v>40</v>
      </c>
      <c r="Q107" s="45" t="s">
        <v>41</v>
      </c>
      <c r="R107" s="83"/>
    </row>
    <row r="108" spans="13:18" x14ac:dyDescent="0.25">
      <c r="M108" s="46">
        <f>$N$2</f>
        <v>0</v>
      </c>
      <c r="N108" s="47">
        <f>B19/1000</f>
        <v>0</v>
      </c>
      <c r="O108" s="47">
        <f t="shared" ref="O108:R108" si="20">C19/1000</f>
        <v>0</v>
      </c>
      <c r="P108" s="47">
        <f t="shared" si="20"/>
        <v>0</v>
      </c>
      <c r="Q108" s="47">
        <f t="shared" si="20"/>
        <v>0</v>
      </c>
      <c r="R108" s="47">
        <f t="shared" si="20"/>
        <v>0</v>
      </c>
    </row>
    <row r="109" spans="13:18" x14ac:dyDescent="0.25">
      <c r="M109" s="46">
        <f>$O$2</f>
        <v>0</v>
      </c>
      <c r="N109" s="47">
        <f>H19/1000</f>
        <v>0</v>
      </c>
      <c r="O109" s="47">
        <f t="shared" ref="O109:R109" si="21">I19/1000</f>
        <v>0</v>
      </c>
      <c r="P109" s="47">
        <f t="shared" si="21"/>
        <v>0</v>
      </c>
      <c r="Q109" s="47">
        <f t="shared" si="21"/>
        <v>0</v>
      </c>
      <c r="R109" s="47">
        <f t="shared" si="21"/>
        <v>0</v>
      </c>
    </row>
    <row r="110" spans="13:18" x14ac:dyDescent="0.25">
      <c r="M110" s="45" t="s">
        <v>42</v>
      </c>
      <c r="N110" s="48">
        <f>N109-N108</f>
        <v>0</v>
      </c>
      <c r="O110" s="48">
        <f>O109-O108</f>
        <v>0</v>
      </c>
      <c r="P110" s="48">
        <f>P109-P108</f>
        <v>0</v>
      </c>
      <c r="Q110" s="48">
        <f>Q109-Q108</f>
        <v>0</v>
      </c>
      <c r="R110" s="48">
        <f>R109-R108</f>
        <v>0</v>
      </c>
    </row>
    <row r="111" spans="13:18" x14ac:dyDescent="0.25">
      <c r="M111" s="43"/>
      <c r="N111" s="43"/>
      <c r="O111" s="43"/>
      <c r="P111" s="43"/>
      <c r="Q111" s="43"/>
      <c r="R111" s="43"/>
    </row>
    <row r="112" spans="13:18" x14ac:dyDescent="0.25">
      <c r="M112" s="44" t="s">
        <v>64</v>
      </c>
      <c r="N112" s="43"/>
      <c r="O112" s="43"/>
      <c r="P112" s="43"/>
      <c r="Q112" s="43"/>
      <c r="R112" s="43">
        <f>A20</f>
        <v>0</v>
      </c>
    </row>
    <row r="113" spans="13:18" x14ac:dyDescent="0.25">
      <c r="M113" s="45"/>
      <c r="N113" s="81" t="s">
        <v>30</v>
      </c>
      <c r="O113" s="81"/>
      <c r="P113" s="81" t="s">
        <v>31</v>
      </c>
      <c r="Q113" s="81"/>
      <c r="R113" s="82" t="s">
        <v>32</v>
      </c>
    </row>
    <row r="114" spans="13:18" x14ac:dyDescent="0.25">
      <c r="M114" s="45" t="s">
        <v>39</v>
      </c>
      <c r="N114" s="45" t="s">
        <v>40</v>
      </c>
      <c r="O114" s="45" t="s">
        <v>41</v>
      </c>
      <c r="P114" s="45" t="s">
        <v>40</v>
      </c>
      <c r="Q114" s="45" t="s">
        <v>41</v>
      </c>
      <c r="R114" s="83"/>
    </row>
    <row r="115" spans="13:18" x14ac:dyDescent="0.25">
      <c r="M115" s="46">
        <f>$N$2</f>
        <v>0</v>
      </c>
      <c r="N115" s="47">
        <f>B20/1000</f>
        <v>0</v>
      </c>
      <c r="O115" s="47">
        <f t="shared" ref="O115:R115" si="22">C20/1000</f>
        <v>0</v>
      </c>
      <c r="P115" s="47">
        <f t="shared" si="22"/>
        <v>0</v>
      </c>
      <c r="Q115" s="47">
        <f t="shared" si="22"/>
        <v>0</v>
      </c>
      <c r="R115" s="47">
        <f t="shared" si="22"/>
        <v>0</v>
      </c>
    </row>
    <row r="116" spans="13:18" x14ac:dyDescent="0.25">
      <c r="M116" s="46">
        <f>$O$2</f>
        <v>0</v>
      </c>
      <c r="N116" s="47">
        <f>H20/1000</f>
        <v>0</v>
      </c>
      <c r="O116" s="47">
        <f t="shared" ref="O116:R116" si="23">I20/1000</f>
        <v>0</v>
      </c>
      <c r="P116" s="47">
        <f t="shared" si="23"/>
        <v>0</v>
      </c>
      <c r="Q116" s="47">
        <f t="shared" si="23"/>
        <v>0</v>
      </c>
      <c r="R116" s="47">
        <f t="shared" si="23"/>
        <v>0</v>
      </c>
    </row>
    <row r="117" spans="13:18" x14ac:dyDescent="0.25">
      <c r="M117" s="45" t="s">
        <v>42</v>
      </c>
      <c r="N117" s="48">
        <f>N116-N115</f>
        <v>0</v>
      </c>
      <c r="O117" s="48">
        <f>O116-O115</f>
        <v>0</v>
      </c>
      <c r="P117" s="48">
        <f>P116-P115</f>
        <v>0</v>
      </c>
      <c r="Q117" s="48">
        <f>Q116-Q115</f>
        <v>0</v>
      </c>
      <c r="R117" s="48">
        <f>R116-R115</f>
        <v>0</v>
      </c>
    </row>
    <row r="118" spans="13:18" x14ac:dyDescent="0.25">
      <c r="M118" s="43"/>
      <c r="N118" s="43"/>
      <c r="O118" s="43"/>
      <c r="P118" s="43"/>
      <c r="Q118" s="43"/>
      <c r="R118" s="43"/>
    </row>
    <row r="119" spans="13:18" x14ac:dyDescent="0.25">
      <c r="M119" s="44" t="s">
        <v>65</v>
      </c>
      <c r="N119" s="43"/>
      <c r="O119" s="43"/>
      <c r="P119" s="43"/>
      <c r="Q119" s="43"/>
      <c r="R119" s="43">
        <f>A21</f>
        <v>0</v>
      </c>
    </row>
    <row r="120" spans="13:18" x14ac:dyDescent="0.25">
      <c r="M120" s="45"/>
      <c r="N120" s="81" t="s">
        <v>30</v>
      </c>
      <c r="O120" s="81"/>
      <c r="P120" s="81" t="s">
        <v>31</v>
      </c>
      <c r="Q120" s="81"/>
      <c r="R120" s="82" t="s">
        <v>32</v>
      </c>
    </row>
    <row r="121" spans="13:18" x14ac:dyDescent="0.25">
      <c r="M121" s="45" t="s">
        <v>39</v>
      </c>
      <c r="N121" s="45" t="s">
        <v>40</v>
      </c>
      <c r="O121" s="45" t="s">
        <v>41</v>
      </c>
      <c r="P121" s="45" t="s">
        <v>40</v>
      </c>
      <c r="Q121" s="45" t="s">
        <v>41</v>
      </c>
      <c r="R121" s="83"/>
    </row>
    <row r="122" spans="13:18" x14ac:dyDescent="0.25">
      <c r="M122" s="46">
        <f>$N$2</f>
        <v>0</v>
      </c>
      <c r="N122" s="47">
        <f>B21/1000</f>
        <v>0</v>
      </c>
      <c r="O122" s="47">
        <f t="shared" ref="O122:R122" si="24">C21/1000</f>
        <v>0</v>
      </c>
      <c r="P122" s="47">
        <f t="shared" si="24"/>
        <v>0</v>
      </c>
      <c r="Q122" s="47">
        <f t="shared" si="24"/>
        <v>0</v>
      </c>
      <c r="R122" s="47">
        <f t="shared" si="24"/>
        <v>0</v>
      </c>
    </row>
    <row r="123" spans="13:18" x14ac:dyDescent="0.25">
      <c r="M123" s="46">
        <f>$O$2</f>
        <v>0</v>
      </c>
      <c r="N123" s="47">
        <f>H21/1000</f>
        <v>0</v>
      </c>
      <c r="O123" s="47">
        <f t="shared" ref="O123:R123" si="25">I21/1000</f>
        <v>0</v>
      </c>
      <c r="P123" s="47">
        <f t="shared" si="25"/>
        <v>0</v>
      </c>
      <c r="Q123" s="47">
        <f t="shared" si="25"/>
        <v>0</v>
      </c>
      <c r="R123" s="47">
        <f t="shared" si="25"/>
        <v>0</v>
      </c>
    </row>
    <row r="124" spans="13:18" x14ac:dyDescent="0.25">
      <c r="M124" s="45" t="s">
        <v>42</v>
      </c>
      <c r="N124" s="48">
        <f>N123-N122</f>
        <v>0</v>
      </c>
      <c r="O124" s="48">
        <f>O123-O122</f>
        <v>0</v>
      </c>
      <c r="P124" s="48">
        <f>P123-P122</f>
        <v>0</v>
      </c>
      <c r="Q124" s="48">
        <f>Q123-Q122</f>
        <v>0</v>
      </c>
      <c r="R124" s="48">
        <f>R123-R122</f>
        <v>0</v>
      </c>
    </row>
    <row r="125" spans="13:18" x14ac:dyDescent="0.25">
      <c r="M125" s="43"/>
      <c r="N125" s="43"/>
      <c r="O125" s="43"/>
      <c r="P125" s="43"/>
      <c r="Q125" s="43"/>
      <c r="R125" s="43"/>
    </row>
    <row r="126" spans="13:18" x14ac:dyDescent="0.25">
      <c r="M126" s="44" t="s">
        <v>66</v>
      </c>
      <c r="N126" s="43"/>
      <c r="O126" s="43"/>
      <c r="P126" s="43"/>
      <c r="Q126" s="43"/>
      <c r="R126" s="43">
        <f>A22</f>
        <v>0</v>
      </c>
    </row>
    <row r="127" spans="13:18" x14ac:dyDescent="0.25">
      <c r="M127" s="45"/>
      <c r="N127" s="81" t="s">
        <v>30</v>
      </c>
      <c r="O127" s="81"/>
      <c r="P127" s="81" t="s">
        <v>31</v>
      </c>
      <c r="Q127" s="81"/>
      <c r="R127" s="82" t="s">
        <v>32</v>
      </c>
    </row>
    <row r="128" spans="13:18" x14ac:dyDescent="0.25">
      <c r="M128" s="45" t="s">
        <v>39</v>
      </c>
      <c r="N128" s="45" t="s">
        <v>40</v>
      </c>
      <c r="O128" s="45" t="s">
        <v>41</v>
      </c>
      <c r="P128" s="45" t="s">
        <v>40</v>
      </c>
      <c r="Q128" s="45" t="s">
        <v>41</v>
      </c>
      <c r="R128" s="83"/>
    </row>
    <row r="129" spans="13:18" x14ac:dyDescent="0.25">
      <c r="M129" s="46">
        <f>$N$2</f>
        <v>0</v>
      </c>
      <c r="N129" s="47">
        <f>B22/1000</f>
        <v>0</v>
      </c>
      <c r="O129" s="47">
        <f t="shared" ref="O129:R129" si="26">C22/1000</f>
        <v>0</v>
      </c>
      <c r="P129" s="47">
        <f t="shared" si="26"/>
        <v>0</v>
      </c>
      <c r="Q129" s="47">
        <f t="shared" si="26"/>
        <v>0</v>
      </c>
      <c r="R129" s="47">
        <f t="shared" si="26"/>
        <v>0</v>
      </c>
    </row>
    <row r="130" spans="13:18" x14ac:dyDescent="0.25">
      <c r="M130" s="46">
        <f>$O$2</f>
        <v>0</v>
      </c>
      <c r="N130" s="47">
        <f>H22/1000</f>
        <v>0</v>
      </c>
      <c r="O130" s="47">
        <f t="shared" ref="O130:R130" si="27">I22/1000</f>
        <v>0</v>
      </c>
      <c r="P130" s="47">
        <f t="shared" si="27"/>
        <v>0</v>
      </c>
      <c r="Q130" s="47">
        <f t="shared" si="27"/>
        <v>0</v>
      </c>
      <c r="R130" s="47">
        <f t="shared" si="27"/>
        <v>0</v>
      </c>
    </row>
    <row r="131" spans="13:18" x14ac:dyDescent="0.25">
      <c r="M131" s="45" t="s">
        <v>42</v>
      </c>
      <c r="N131" s="48">
        <f>N130-N129</f>
        <v>0</v>
      </c>
      <c r="O131" s="48">
        <f>O130-O129</f>
        <v>0</v>
      </c>
      <c r="P131" s="48">
        <f>P130-P129</f>
        <v>0</v>
      </c>
      <c r="Q131" s="48">
        <f>Q130-Q129</f>
        <v>0</v>
      </c>
      <c r="R131" s="48">
        <f>R130-R129</f>
        <v>0</v>
      </c>
    </row>
    <row r="132" spans="13:18" x14ac:dyDescent="0.25">
      <c r="M132" s="43"/>
      <c r="N132" s="43"/>
      <c r="O132" s="43"/>
      <c r="P132" s="43"/>
      <c r="Q132" s="43"/>
      <c r="R132" s="43"/>
    </row>
    <row r="133" spans="13:18" x14ac:dyDescent="0.25">
      <c r="M133" s="44" t="s">
        <v>52</v>
      </c>
      <c r="N133" s="43"/>
      <c r="O133" s="43"/>
      <c r="P133" s="43"/>
      <c r="Q133" s="43"/>
      <c r="R133" s="43">
        <f>A23</f>
        <v>0</v>
      </c>
    </row>
    <row r="134" spans="13:18" x14ac:dyDescent="0.25">
      <c r="M134" s="45"/>
      <c r="N134" s="81" t="s">
        <v>30</v>
      </c>
      <c r="O134" s="81"/>
      <c r="P134" s="81" t="s">
        <v>31</v>
      </c>
      <c r="Q134" s="81"/>
      <c r="R134" s="82" t="s">
        <v>32</v>
      </c>
    </row>
    <row r="135" spans="13:18" x14ac:dyDescent="0.25">
      <c r="M135" s="45" t="s">
        <v>39</v>
      </c>
      <c r="N135" s="45" t="s">
        <v>40</v>
      </c>
      <c r="O135" s="45" t="s">
        <v>41</v>
      </c>
      <c r="P135" s="45" t="s">
        <v>40</v>
      </c>
      <c r="Q135" s="45" t="s">
        <v>41</v>
      </c>
      <c r="R135" s="83"/>
    </row>
    <row r="136" spans="13:18" x14ac:dyDescent="0.25">
      <c r="M136" s="46">
        <f>$N$2</f>
        <v>0</v>
      </c>
      <c r="N136" s="47">
        <f>B23/1000</f>
        <v>0</v>
      </c>
      <c r="O136" s="47">
        <f t="shared" ref="O136:R136" si="28">C23/1000</f>
        <v>0</v>
      </c>
      <c r="P136" s="47">
        <f t="shared" si="28"/>
        <v>0</v>
      </c>
      <c r="Q136" s="47">
        <f t="shared" si="28"/>
        <v>0</v>
      </c>
      <c r="R136" s="47">
        <f t="shared" si="28"/>
        <v>0</v>
      </c>
    </row>
    <row r="137" spans="13:18" x14ac:dyDescent="0.25">
      <c r="M137" s="46">
        <f>$O$2</f>
        <v>0</v>
      </c>
      <c r="N137" s="47">
        <f>H23/1000</f>
        <v>0</v>
      </c>
      <c r="O137" s="47">
        <f t="shared" ref="O137:R137" si="29">I23/1000</f>
        <v>0</v>
      </c>
      <c r="P137" s="47">
        <f t="shared" si="29"/>
        <v>0</v>
      </c>
      <c r="Q137" s="47">
        <f t="shared" si="29"/>
        <v>0</v>
      </c>
      <c r="R137" s="47">
        <f t="shared" si="29"/>
        <v>0</v>
      </c>
    </row>
    <row r="138" spans="13:18" x14ac:dyDescent="0.25">
      <c r="M138" s="45" t="s">
        <v>42</v>
      </c>
      <c r="N138" s="48">
        <f>N137-N136</f>
        <v>0</v>
      </c>
      <c r="O138" s="48">
        <f>O137-O136</f>
        <v>0</v>
      </c>
      <c r="P138" s="48">
        <f>P137-P136</f>
        <v>0</v>
      </c>
      <c r="Q138" s="48">
        <f>Q137-Q136</f>
        <v>0</v>
      </c>
      <c r="R138" s="48">
        <f>R137-R136</f>
        <v>0</v>
      </c>
    </row>
    <row r="139" spans="13:18" ht="15.75" thickBot="1" x14ac:dyDescent="0.3">
      <c r="M139" s="43"/>
      <c r="N139" s="43"/>
      <c r="O139" s="43"/>
      <c r="P139" s="43"/>
      <c r="Q139" s="43"/>
      <c r="R139" s="43"/>
    </row>
    <row r="140" spans="13:18" ht="15.75" thickBot="1" x14ac:dyDescent="0.3">
      <c r="M140" s="49" t="s">
        <v>46</v>
      </c>
      <c r="N140" s="50">
        <f>N110+N117+N124+N131+N138</f>
        <v>0</v>
      </c>
      <c r="O140" s="50">
        <f>O110+O117+O124+O131+O138</f>
        <v>0</v>
      </c>
      <c r="P140" s="50">
        <f>P110+P117+P124+P131+P138</f>
        <v>0</v>
      </c>
      <c r="Q140" s="50">
        <f>Q110+Q117+Q124+Q131+Q138</f>
        <v>0</v>
      </c>
      <c r="R140" s="50">
        <f>R110+R117+R124+R131+R138</f>
        <v>0</v>
      </c>
    </row>
    <row r="141" spans="13:18" x14ac:dyDescent="0.25">
      <c r="M141" s="71"/>
      <c r="N141" s="72"/>
      <c r="O141" s="72"/>
      <c r="P141" s="72"/>
      <c r="Q141" s="72"/>
      <c r="R141" s="72"/>
    </row>
    <row r="142" spans="13:18" x14ac:dyDescent="0.25">
      <c r="M142" s="44" t="s">
        <v>109</v>
      </c>
      <c r="N142" s="43"/>
      <c r="O142" s="43"/>
      <c r="P142" s="43"/>
      <c r="Q142" s="43"/>
      <c r="R142" s="43">
        <f>A24</f>
        <v>0</v>
      </c>
    </row>
    <row r="143" spans="13:18" x14ac:dyDescent="0.25">
      <c r="M143" s="45"/>
      <c r="N143" s="81" t="s">
        <v>30</v>
      </c>
      <c r="O143" s="81"/>
      <c r="P143" s="81" t="s">
        <v>31</v>
      </c>
      <c r="Q143" s="81"/>
      <c r="R143" s="82" t="s">
        <v>32</v>
      </c>
    </row>
    <row r="144" spans="13:18" x14ac:dyDescent="0.25">
      <c r="M144" s="45" t="s">
        <v>39</v>
      </c>
      <c r="N144" s="45" t="s">
        <v>40</v>
      </c>
      <c r="O144" s="45" t="s">
        <v>41</v>
      </c>
      <c r="P144" s="45" t="s">
        <v>40</v>
      </c>
      <c r="Q144" s="45" t="s">
        <v>41</v>
      </c>
      <c r="R144" s="83"/>
    </row>
    <row r="145" spans="13:18" x14ac:dyDescent="0.25">
      <c r="M145" s="46">
        <f>$N$2</f>
        <v>0</v>
      </c>
      <c r="N145" s="47">
        <f>B24/1000</f>
        <v>0</v>
      </c>
      <c r="O145" s="47">
        <f t="shared" ref="O145:R145" si="30">C24/1000</f>
        <v>0</v>
      </c>
      <c r="P145" s="47">
        <f t="shared" si="30"/>
        <v>0</v>
      </c>
      <c r="Q145" s="47">
        <f t="shared" si="30"/>
        <v>0</v>
      </c>
      <c r="R145" s="47">
        <f t="shared" si="30"/>
        <v>0</v>
      </c>
    </row>
    <row r="146" spans="13:18" x14ac:dyDescent="0.25">
      <c r="M146" s="46">
        <f>$O$2</f>
        <v>0</v>
      </c>
      <c r="N146" s="47">
        <f>H24/1000</f>
        <v>0</v>
      </c>
      <c r="O146" s="47">
        <f t="shared" ref="O146:R146" si="31">I24/1000</f>
        <v>0</v>
      </c>
      <c r="P146" s="47">
        <f t="shared" si="31"/>
        <v>0</v>
      </c>
      <c r="Q146" s="47">
        <f t="shared" si="31"/>
        <v>0</v>
      </c>
      <c r="R146" s="47">
        <f t="shared" si="31"/>
        <v>0</v>
      </c>
    </row>
    <row r="147" spans="13:18" x14ac:dyDescent="0.25">
      <c r="M147" s="45" t="s">
        <v>42</v>
      </c>
      <c r="N147" s="48">
        <f>N146-N145</f>
        <v>0</v>
      </c>
      <c r="O147" s="48">
        <f>O146-O145</f>
        <v>0</v>
      </c>
      <c r="P147" s="48">
        <f>P146-P145</f>
        <v>0</v>
      </c>
      <c r="Q147" s="48">
        <f>Q146-Q145</f>
        <v>0</v>
      </c>
      <c r="R147" s="48">
        <f>R146-R145</f>
        <v>0</v>
      </c>
    </row>
    <row r="148" spans="13:18" ht="15.75" thickBot="1" x14ac:dyDescent="0.3">
      <c r="M148" s="43"/>
      <c r="N148" s="43"/>
      <c r="O148" s="43"/>
      <c r="P148" s="43"/>
      <c r="Q148" s="43"/>
      <c r="R148" s="43"/>
    </row>
    <row r="149" spans="13:18" ht="15.75" thickBot="1" x14ac:dyDescent="0.3">
      <c r="M149" s="49" t="s">
        <v>47</v>
      </c>
      <c r="N149" s="50">
        <f>N57+N102+N140+N147</f>
        <v>0</v>
      </c>
      <c r="O149" s="50">
        <f>O57+O102+O140+O147</f>
        <v>0</v>
      </c>
      <c r="P149" s="50">
        <f>P57+P102+P140+P147</f>
        <v>0</v>
      </c>
      <c r="Q149" s="50">
        <f>Q57+Q102+Q140+Q147</f>
        <v>0</v>
      </c>
      <c r="R149" s="50">
        <f>R57+R102+R140+R147</f>
        <v>0</v>
      </c>
    </row>
    <row r="151" spans="13:18" ht="15.75" x14ac:dyDescent="0.25">
      <c r="M151" s="41" t="s">
        <v>146</v>
      </c>
      <c r="N151" s="43"/>
      <c r="O151" s="43"/>
      <c r="P151" s="43"/>
      <c r="Q151" s="43"/>
      <c r="R151" s="43"/>
    </row>
    <row r="152" spans="13:18" x14ac:dyDescent="0.25">
      <c r="M152" s="44" t="s">
        <v>37</v>
      </c>
      <c r="N152" s="43"/>
      <c r="O152" s="43"/>
      <c r="P152" s="43"/>
      <c r="Q152" s="43"/>
      <c r="R152" s="43">
        <f>A25</f>
        <v>0</v>
      </c>
    </row>
    <row r="153" spans="13:18" x14ac:dyDescent="0.25">
      <c r="M153" s="45"/>
      <c r="N153" s="81" t="s">
        <v>30</v>
      </c>
      <c r="O153" s="81"/>
      <c r="P153" s="81" t="s">
        <v>31</v>
      </c>
      <c r="Q153" s="81"/>
      <c r="R153" s="82" t="s">
        <v>32</v>
      </c>
    </row>
    <row r="154" spans="13:18" x14ac:dyDescent="0.25">
      <c r="M154" s="45" t="s">
        <v>39</v>
      </c>
      <c r="N154" s="45" t="s">
        <v>40</v>
      </c>
      <c r="O154" s="45" t="s">
        <v>41</v>
      </c>
      <c r="P154" s="45" t="s">
        <v>40</v>
      </c>
      <c r="Q154" s="45" t="s">
        <v>41</v>
      </c>
      <c r="R154" s="83"/>
    </row>
    <row r="155" spans="13:18" x14ac:dyDescent="0.25">
      <c r="M155" s="46">
        <f>$N$2</f>
        <v>0</v>
      </c>
      <c r="N155" s="47">
        <f>B25/1000</f>
        <v>0</v>
      </c>
      <c r="O155" s="47">
        <f t="shared" ref="O155:R155" si="32">C25/1000</f>
        <v>0</v>
      </c>
      <c r="P155" s="47">
        <f t="shared" si="32"/>
        <v>0</v>
      </c>
      <c r="Q155" s="47">
        <f t="shared" si="32"/>
        <v>0</v>
      </c>
      <c r="R155" s="47">
        <f t="shared" si="32"/>
        <v>0</v>
      </c>
    </row>
    <row r="156" spans="13:18" x14ac:dyDescent="0.25">
      <c r="M156" s="46">
        <f>$O$2</f>
        <v>0</v>
      </c>
      <c r="N156" s="47">
        <f>H25/1000</f>
        <v>0</v>
      </c>
      <c r="O156" s="47">
        <f t="shared" ref="O156:R156" si="33">I25/1000</f>
        <v>0</v>
      </c>
      <c r="P156" s="47">
        <f t="shared" si="33"/>
        <v>0</v>
      </c>
      <c r="Q156" s="47">
        <f t="shared" si="33"/>
        <v>0</v>
      </c>
      <c r="R156" s="47">
        <f t="shared" si="33"/>
        <v>0</v>
      </c>
    </row>
    <row r="157" spans="13:18" x14ac:dyDescent="0.25">
      <c r="M157" s="45" t="s">
        <v>42</v>
      </c>
      <c r="N157" s="48">
        <f>N156-N155</f>
        <v>0</v>
      </c>
      <c r="O157" s="48">
        <f>O156-O155</f>
        <v>0</v>
      </c>
      <c r="P157" s="48">
        <f>P156-P155</f>
        <v>0</v>
      </c>
      <c r="Q157" s="48">
        <f>Q156-Q155</f>
        <v>0</v>
      </c>
      <c r="R157" s="48">
        <f>R156-R155</f>
        <v>0</v>
      </c>
    </row>
    <row r="158" spans="13:18" x14ac:dyDescent="0.25">
      <c r="M158" s="43"/>
      <c r="N158" s="43"/>
      <c r="O158" s="43"/>
      <c r="P158" s="43"/>
      <c r="Q158" s="43"/>
      <c r="R158" s="43"/>
    </row>
    <row r="159" spans="13:18" x14ac:dyDescent="0.25">
      <c r="M159" s="44" t="s">
        <v>48</v>
      </c>
      <c r="N159" s="43"/>
      <c r="O159" s="43"/>
      <c r="P159" s="43"/>
      <c r="Q159" s="43"/>
      <c r="R159" s="43">
        <f>A26</f>
        <v>0</v>
      </c>
    </row>
    <row r="160" spans="13:18" x14ac:dyDescent="0.25">
      <c r="M160" s="45"/>
      <c r="N160" s="81" t="s">
        <v>30</v>
      </c>
      <c r="O160" s="81"/>
      <c r="P160" s="81" t="s">
        <v>31</v>
      </c>
      <c r="Q160" s="81"/>
      <c r="R160" s="82" t="s">
        <v>32</v>
      </c>
    </row>
    <row r="161" spans="13:18" x14ac:dyDescent="0.25">
      <c r="M161" s="45" t="s">
        <v>39</v>
      </c>
      <c r="N161" s="45" t="s">
        <v>40</v>
      </c>
      <c r="O161" s="45" t="s">
        <v>41</v>
      </c>
      <c r="P161" s="45" t="s">
        <v>40</v>
      </c>
      <c r="Q161" s="45" t="s">
        <v>41</v>
      </c>
      <c r="R161" s="83"/>
    </row>
    <row r="162" spans="13:18" x14ac:dyDescent="0.25">
      <c r="M162" s="46">
        <f>$N$2</f>
        <v>0</v>
      </c>
      <c r="N162" s="47">
        <f>B26/1000</f>
        <v>0</v>
      </c>
      <c r="O162" s="47">
        <f t="shared" ref="O162:R162" si="34">C26/1000</f>
        <v>0</v>
      </c>
      <c r="P162" s="47">
        <f t="shared" si="34"/>
        <v>0</v>
      </c>
      <c r="Q162" s="47">
        <f t="shared" si="34"/>
        <v>0</v>
      </c>
      <c r="R162" s="47">
        <f t="shared" si="34"/>
        <v>0</v>
      </c>
    </row>
    <row r="163" spans="13:18" x14ac:dyDescent="0.25">
      <c r="M163" s="46">
        <f>$O$2</f>
        <v>0</v>
      </c>
      <c r="N163" s="47">
        <f>H26/1000</f>
        <v>0</v>
      </c>
      <c r="O163" s="47">
        <f t="shared" ref="O163:R163" si="35">I26/1000</f>
        <v>0</v>
      </c>
      <c r="P163" s="47">
        <f t="shared" si="35"/>
        <v>0</v>
      </c>
      <c r="Q163" s="47">
        <f t="shared" si="35"/>
        <v>0</v>
      </c>
      <c r="R163" s="47">
        <f t="shared" si="35"/>
        <v>0</v>
      </c>
    </row>
    <row r="164" spans="13:18" x14ac:dyDescent="0.25">
      <c r="M164" s="45" t="s">
        <v>42</v>
      </c>
      <c r="N164" s="48">
        <f>N163-N162</f>
        <v>0</v>
      </c>
      <c r="O164" s="48">
        <f>O163-O162</f>
        <v>0</v>
      </c>
      <c r="P164" s="48">
        <f>P163-P162</f>
        <v>0</v>
      </c>
      <c r="Q164" s="48">
        <f>Q163-Q162</f>
        <v>0</v>
      </c>
      <c r="R164" s="48">
        <f>R163-R162</f>
        <v>0</v>
      </c>
    </row>
    <row r="165" spans="13:18" ht="15.75" thickBot="1" x14ac:dyDescent="0.3">
      <c r="M165" s="43"/>
      <c r="N165" s="43"/>
      <c r="O165" s="43"/>
      <c r="P165" s="43"/>
      <c r="Q165" s="43"/>
      <c r="R165" s="43"/>
    </row>
    <row r="166" spans="13:18" ht="15.75" thickBot="1" x14ac:dyDescent="0.3">
      <c r="M166" s="49" t="s">
        <v>43</v>
      </c>
      <c r="N166" s="50">
        <f>N157+N164</f>
        <v>0</v>
      </c>
      <c r="O166" s="50">
        <f t="shared" ref="O166:R166" si="36">O157+O164</f>
        <v>0</v>
      </c>
      <c r="P166" s="50">
        <f t="shared" si="36"/>
        <v>0</v>
      </c>
      <c r="Q166" s="50">
        <f t="shared" si="36"/>
        <v>0</v>
      </c>
      <c r="R166" s="50">
        <f t="shared" si="36"/>
        <v>0</v>
      </c>
    </row>
  </sheetData>
  <mergeCells count="63">
    <mergeCell ref="N160:O160"/>
    <mergeCell ref="P160:Q160"/>
    <mergeCell ref="R160:R161"/>
    <mergeCell ref="N143:O143"/>
    <mergeCell ref="P143:Q143"/>
    <mergeCell ref="R143:R144"/>
    <mergeCell ref="N153:O153"/>
    <mergeCell ref="P153:Q153"/>
    <mergeCell ref="R153:R154"/>
    <mergeCell ref="N127:O127"/>
    <mergeCell ref="P127:Q127"/>
    <mergeCell ref="R127:R128"/>
    <mergeCell ref="N134:O134"/>
    <mergeCell ref="P134:Q134"/>
    <mergeCell ref="R134:R135"/>
    <mergeCell ref="N113:O113"/>
    <mergeCell ref="P113:Q113"/>
    <mergeCell ref="R113:R114"/>
    <mergeCell ref="N120:O120"/>
    <mergeCell ref="P120:Q120"/>
    <mergeCell ref="R120:R121"/>
    <mergeCell ref="N96:O96"/>
    <mergeCell ref="P96:Q96"/>
    <mergeCell ref="R96:R97"/>
    <mergeCell ref="N106:O106"/>
    <mergeCell ref="P106:Q106"/>
    <mergeCell ref="R106:R107"/>
    <mergeCell ref="N82:O82"/>
    <mergeCell ref="P82:Q82"/>
    <mergeCell ref="R82:R83"/>
    <mergeCell ref="N89:O89"/>
    <mergeCell ref="P89:Q89"/>
    <mergeCell ref="R89:R90"/>
    <mergeCell ref="N68:O68"/>
    <mergeCell ref="P68:Q68"/>
    <mergeCell ref="R68:R69"/>
    <mergeCell ref="N75:O75"/>
    <mergeCell ref="P75:Q75"/>
    <mergeCell ref="R75:R76"/>
    <mergeCell ref="N51:O51"/>
    <mergeCell ref="P51:Q51"/>
    <mergeCell ref="R51:R52"/>
    <mergeCell ref="N61:O61"/>
    <mergeCell ref="P61:Q61"/>
    <mergeCell ref="R61:R62"/>
    <mergeCell ref="N37:O37"/>
    <mergeCell ref="P37:Q37"/>
    <mergeCell ref="R37:R38"/>
    <mergeCell ref="N44:O44"/>
    <mergeCell ref="P44:Q44"/>
    <mergeCell ref="R44:R45"/>
    <mergeCell ref="N20:O20"/>
    <mergeCell ref="P20:Q20"/>
    <mergeCell ref="R20:R21"/>
    <mergeCell ref="N30:O30"/>
    <mergeCell ref="P30:Q30"/>
    <mergeCell ref="R30:R31"/>
    <mergeCell ref="N6:O6"/>
    <mergeCell ref="P6:Q6"/>
    <mergeCell ref="R6:R7"/>
    <mergeCell ref="N13:O13"/>
    <mergeCell ref="P13:Q13"/>
    <mergeCell ref="R13:R14"/>
  </mergeCell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GobalLOS"/>
  <dimension ref="A1:R125"/>
  <sheetViews>
    <sheetView showGridLines="0" topLeftCell="M1" workbookViewId="0">
      <selection activeCell="N7" sqref="N7"/>
    </sheetView>
  </sheetViews>
  <sheetFormatPr defaultRowHeight="15" x14ac:dyDescent="0.25"/>
  <cols>
    <col min="1" max="12" width="9.140625" hidden="1" customWidth="1"/>
    <col min="13" max="18" width="22.7109375" customWidth="1"/>
  </cols>
  <sheetData>
    <row r="1" spans="13:18" ht="24" thickBot="1" x14ac:dyDescent="0.4">
      <c r="M1" s="39" t="s">
        <v>35</v>
      </c>
      <c r="N1" s="40"/>
      <c r="O1" s="40"/>
      <c r="P1" s="40"/>
      <c r="Q1" s="40"/>
      <c r="R1" s="40"/>
    </row>
    <row r="2" spans="13:18" ht="15.75" x14ac:dyDescent="0.25">
      <c r="M2" s="41" t="s">
        <v>38</v>
      </c>
      <c r="N2" s="42"/>
      <c r="O2" s="42"/>
      <c r="P2" s="43"/>
      <c r="Q2" s="43"/>
      <c r="R2" s="43"/>
    </row>
    <row r="3" spans="13:18" x14ac:dyDescent="0.25">
      <c r="M3" s="43"/>
      <c r="N3" s="43"/>
      <c r="O3" s="43"/>
      <c r="P3" s="43"/>
      <c r="Q3" s="43"/>
      <c r="R3" s="43"/>
    </row>
    <row r="4" spans="13:18" ht="15.75" x14ac:dyDescent="0.25">
      <c r="M4" s="41" t="s">
        <v>110</v>
      </c>
      <c r="N4" s="43"/>
      <c r="O4" s="43"/>
      <c r="P4" s="43"/>
      <c r="Q4" s="43"/>
      <c r="R4" s="43"/>
    </row>
    <row r="5" spans="13:18" x14ac:dyDescent="0.25">
      <c r="M5" s="44" t="s">
        <v>111</v>
      </c>
      <c r="N5" s="43"/>
      <c r="O5" s="43"/>
      <c r="P5" s="43"/>
      <c r="Q5" s="43"/>
      <c r="R5" s="43">
        <f>A6</f>
        <v>0</v>
      </c>
    </row>
    <row r="6" spans="13:18" x14ac:dyDescent="0.25">
      <c r="M6" s="45"/>
      <c r="N6" s="81" t="s">
        <v>30</v>
      </c>
      <c r="O6" s="81"/>
      <c r="P6" s="81" t="s">
        <v>31</v>
      </c>
      <c r="Q6" s="81"/>
      <c r="R6" s="82" t="s">
        <v>32</v>
      </c>
    </row>
    <row r="7" spans="13:18" x14ac:dyDescent="0.25">
      <c r="M7" s="45" t="s">
        <v>39</v>
      </c>
      <c r="N7" s="45" t="s">
        <v>40</v>
      </c>
      <c r="O7" s="45" t="s">
        <v>41</v>
      </c>
      <c r="P7" s="45" t="s">
        <v>40</v>
      </c>
      <c r="Q7" s="45" t="s">
        <v>41</v>
      </c>
      <c r="R7" s="83"/>
    </row>
    <row r="8" spans="13:18" x14ac:dyDescent="0.25">
      <c r="M8" s="46">
        <f>$N$2</f>
        <v>0</v>
      </c>
      <c r="N8" s="47">
        <f>B6/1000</f>
        <v>0</v>
      </c>
      <c r="O8" s="47">
        <f t="shared" ref="O8:R8" si="0">C6/1000</f>
        <v>0</v>
      </c>
      <c r="P8" s="47">
        <f t="shared" si="0"/>
        <v>0</v>
      </c>
      <c r="Q8" s="47">
        <f t="shared" si="0"/>
        <v>0</v>
      </c>
      <c r="R8" s="47">
        <f t="shared" si="0"/>
        <v>0</v>
      </c>
    </row>
    <row r="9" spans="13:18" x14ac:dyDescent="0.25">
      <c r="M9" s="46">
        <f>$O$2</f>
        <v>0</v>
      </c>
      <c r="N9" s="47">
        <f>H6/1000</f>
        <v>0</v>
      </c>
      <c r="O9" s="47">
        <f t="shared" ref="O9:Q9" si="1">I6/1000</f>
        <v>0</v>
      </c>
      <c r="P9" s="47">
        <f t="shared" si="1"/>
        <v>0</v>
      </c>
      <c r="Q9" s="47">
        <f t="shared" si="1"/>
        <v>0</v>
      </c>
      <c r="R9" s="47">
        <f>L6/1000</f>
        <v>0</v>
      </c>
    </row>
    <row r="10" spans="13:18" x14ac:dyDescent="0.25">
      <c r="M10" s="45" t="s">
        <v>42</v>
      </c>
      <c r="N10" s="48">
        <f>N9-N8</f>
        <v>0</v>
      </c>
      <c r="O10" s="48">
        <f>O9-O8</f>
        <v>0</v>
      </c>
      <c r="P10" s="48">
        <f>P9-P8</f>
        <v>0</v>
      </c>
      <c r="Q10" s="48">
        <f>Q9-Q8</f>
        <v>0</v>
      </c>
      <c r="R10" s="48">
        <f>R9-R8</f>
        <v>0</v>
      </c>
    </row>
    <row r="11" spans="13:18" x14ac:dyDescent="0.25">
      <c r="M11" s="43"/>
      <c r="N11" s="43"/>
      <c r="O11" s="43"/>
      <c r="P11" s="43"/>
      <c r="Q11" s="43"/>
      <c r="R11" s="43"/>
    </row>
    <row r="12" spans="13:18" x14ac:dyDescent="0.25">
      <c r="M12" s="44" t="s">
        <v>112</v>
      </c>
      <c r="N12" s="43"/>
      <c r="O12" s="43"/>
      <c r="P12" s="43"/>
      <c r="Q12" s="43"/>
      <c r="R12" s="43">
        <f>A7</f>
        <v>0</v>
      </c>
    </row>
    <row r="13" spans="13:18" x14ac:dyDescent="0.25">
      <c r="M13" s="45"/>
      <c r="N13" s="81" t="s">
        <v>30</v>
      </c>
      <c r="O13" s="81"/>
      <c r="P13" s="81" t="s">
        <v>31</v>
      </c>
      <c r="Q13" s="81"/>
      <c r="R13" s="82" t="s">
        <v>32</v>
      </c>
    </row>
    <row r="14" spans="13:18" x14ac:dyDescent="0.25">
      <c r="M14" s="45" t="s">
        <v>39</v>
      </c>
      <c r="N14" s="45" t="s">
        <v>40</v>
      </c>
      <c r="O14" s="45" t="s">
        <v>41</v>
      </c>
      <c r="P14" s="45" t="s">
        <v>40</v>
      </c>
      <c r="Q14" s="45" t="s">
        <v>41</v>
      </c>
      <c r="R14" s="83"/>
    </row>
    <row r="15" spans="13:18" x14ac:dyDescent="0.25">
      <c r="M15" s="46">
        <f>$N$2</f>
        <v>0</v>
      </c>
      <c r="N15" s="47">
        <f>B7/1000</f>
        <v>0</v>
      </c>
      <c r="O15" s="47">
        <f t="shared" ref="O15:R15" si="2">C7/1000</f>
        <v>0</v>
      </c>
      <c r="P15" s="47">
        <f t="shared" si="2"/>
        <v>0</v>
      </c>
      <c r="Q15" s="47">
        <f t="shared" si="2"/>
        <v>0</v>
      </c>
      <c r="R15" s="47">
        <f t="shared" si="2"/>
        <v>0</v>
      </c>
    </row>
    <row r="16" spans="13:18" x14ac:dyDescent="0.25">
      <c r="M16" s="46">
        <f>$O$2</f>
        <v>0</v>
      </c>
      <c r="N16" s="47">
        <f>H7/1000</f>
        <v>0</v>
      </c>
      <c r="O16" s="47">
        <f t="shared" ref="O16:R16" si="3">I7/1000</f>
        <v>0</v>
      </c>
      <c r="P16" s="47">
        <f t="shared" si="3"/>
        <v>0</v>
      </c>
      <c r="Q16" s="47">
        <f t="shared" si="3"/>
        <v>0</v>
      </c>
      <c r="R16" s="47">
        <f t="shared" si="3"/>
        <v>0</v>
      </c>
    </row>
    <row r="17" spans="13:18" x14ac:dyDescent="0.25">
      <c r="M17" s="45" t="s">
        <v>42</v>
      </c>
      <c r="N17" s="48">
        <f>N16-N15</f>
        <v>0</v>
      </c>
      <c r="O17" s="48">
        <f>O16-O15</f>
        <v>0</v>
      </c>
      <c r="P17" s="48">
        <f>P16-P15</f>
        <v>0</v>
      </c>
      <c r="Q17" s="48">
        <f>Q16-Q15</f>
        <v>0</v>
      </c>
      <c r="R17" s="48">
        <f>R16-R15</f>
        <v>0</v>
      </c>
    </row>
    <row r="18" spans="13:18" x14ac:dyDescent="0.25">
      <c r="M18" s="43"/>
      <c r="N18" s="43"/>
      <c r="O18" s="43"/>
      <c r="P18" s="43"/>
      <c r="Q18" s="43"/>
      <c r="R18" s="43"/>
    </row>
    <row r="19" spans="13:18" x14ac:dyDescent="0.25">
      <c r="M19" s="44" t="s">
        <v>113</v>
      </c>
      <c r="N19" s="43"/>
      <c r="O19" s="43"/>
      <c r="P19" s="43"/>
      <c r="Q19" s="43"/>
      <c r="R19" s="43">
        <f>A8</f>
        <v>0</v>
      </c>
    </row>
    <row r="20" spans="13:18" x14ac:dyDescent="0.25">
      <c r="M20" s="45"/>
      <c r="N20" s="81" t="s">
        <v>30</v>
      </c>
      <c r="O20" s="81"/>
      <c r="P20" s="81" t="s">
        <v>31</v>
      </c>
      <c r="Q20" s="81"/>
      <c r="R20" s="82" t="s">
        <v>32</v>
      </c>
    </row>
    <row r="21" spans="13:18" x14ac:dyDescent="0.25">
      <c r="M21" s="45" t="s">
        <v>39</v>
      </c>
      <c r="N21" s="45" t="s">
        <v>40</v>
      </c>
      <c r="O21" s="45" t="s">
        <v>41</v>
      </c>
      <c r="P21" s="45" t="s">
        <v>40</v>
      </c>
      <c r="Q21" s="45" t="s">
        <v>41</v>
      </c>
      <c r="R21" s="83"/>
    </row>
    <row r="22" spans="13:18" x14ac:dyDescent="0.25">
      <c r="M22" s="46">
        <f>$N$2</f>
        <v>0</v>
      </c>
      <c r="N22" s="47">
        <f>B8/1000</f>
        <v>0</v>
      </c>
      <c r="O22" s="47">
        <f t="shared" ref="O22:R22" si="4">C8/1000</f>
        <v>0</v>
      </c>
      <c r="P22" s="47">
        <f t="shared" si="4"/>
        <v>0</v>
      </c>
      <c r="Q22" s="47">
        <f t="shared" si="4"/>
        <v>0</v>
      </c>
      <c r="R22" s="47">
        <f t="shared" si="4"/>
        <v>0</v>
      </c>
    </row>
    <row r="23" spans="13:18" x14ac:dyDescent="0.25">
      <c r="M23" s="46">
        <f>$O$2</f>
        <v>0</v>
      </c>
      <c r="N23" s="47">
        <f>H8/1000</f>
        <v>0</v>
      </c>
      <c r="O23" s="47">
        <f t="shared" ref="O23:R23" si="5">I8/1000</f>
        <v>0</v>
      </c>
      <c r="P23" s="47">
        <f t="shared" si="5"/>
        <v>0</v>
      </c>
      <c r="Q23" s="47">
        <f t="shared" si="5"/>
        <v>0</v>
      </c>
      <c r="R23" s="47">
        <f t="shared" si="5"/>
        <v>0</v>
      </c>
    </row>
    <row r="24" spans="13:18" x14ac:dyDescent="0.25">
      <c r="M24" s="45" t="s">
        <v>42</v>
      </c>
      <c r="N24" s="48">
        <f>N23-N22</f>
        <v>0</v>
      </c>
      <c r="O24" s="48">
        <f>O23-O22</f>
        <v>0</v>
      </c>
      <c r="P24" s="48">
        <f>P23-P22</f>
        <v>0</v>
      </c>
      <c r="Q24" s="48">
        <f>Q23-Q22</f>
        <v>0</v>
      </c>
      <c r="R24" s="48">
        <f>R23-R22</f>
        <v>0</v>
      </c>
    </row>
    <row r="25" spans="13:18" ht="15.75" thickBot="1" x14ac:dyDescent="0.3">
      <c r="M25" s="43"/>
      <c r="N25" s="43"/>
      <c r="O25" s="43"/>
      <c r="P25" s="43"/>
      <c r="Q25" s="43"/>
      <c r="R25" s="43"/>
    </row>
    <row r="26" spans="13:18" ht="15.75" thickBot="1" x14ac:dyDescent="0.3">
      <c r="M26" s="49" t="s">
        <v>114</v>
      </c>
      <c r="N26" s="50">
        <f>N10+N17+N24</f>
        <v>0</v>
      </c>
      <c r="O26" s="50">
        <f>O10+O17+O24</f>
        <v>0</v>
      </c>
      <c r="P26" s="50">
        <f>P10+P17+P24</f>
        <v>0</v>
      </c>
      <c r="Q26" s="50">
        <f>Q10+Q17+Q24</f>
        <v>0</v>
      </c>
      <c r="R26" s="50">
        <f>R10+R17+R24</f>
        <v>0</v>
      </c>
    </row>
    <row r="27" spans="13:18" x14ac:dyDescent="0.25">
      <c r="M27" s="43"/>
      <c r="N27" s="43"/>
      <c r="O27" s="43"/>
      <c r="P27" s="43"/>
      <c r="Q27" s="43"/>
      <c r="R27" s="43"/>
    </row>
    <row r="28" spans="13:18" ht="15.75" x14ac:dyDescent="0.25">
      <c r="M28" s="41" t="s">
        <v>37</v>
      </c>
      <c r="N28" s="43"/>
      <c r="O28" s="43"/>
      <c r="P28" s="43"/>
      <c r="Q28" s="43"/>
      <c r="R28" s="43"/>
    </row>
    <row r="29" spans="13:18" x14ac:dyDescent="0.25">
      <c r="M29" s="44" t="s">
        <v>115</v>
      </c>
      <c r="N29" s="43"/>
      <c r="O29" s="43"/>
      <c r="P29" s="43"/>
      <c r="Q29" s="43"/>
      <c r="R29" s="43">
        <f>A9</f>
        <v>0</v>
      </c>
    </row>
    <row r="30" spans="13:18" x14ac:dyDescent="0.25">
      <c r="M30" s="45"/>
      <c r="N30" s="81" t="s">
        <v>30</v>
      </c>
      <c r="O30" s="81"/>
      <c r="P30" s="81" t="s">
        <v>31</v>
      </c>
      <c r="Q30" s="81"/>
      <c r="R30" s="82" t="s">
        <v>32</v>
      </c>
    </row>
    <row r="31" spans="13:18" x14ac:dyDescent="0.25">
      <c r="M31" s="45" t="s">
        <v>39</v>
      </c>
      <c r="N31" s="45" t="s">
        <v>40</v>
      </c>
      <c r="O31" s="45" t="s">
        <v>41</v>
      </c>
      <c r="P31" s="45" t="s">
        <v>40</v>
      </c>
      <c r="Q31" s="45" t="s">
        <v>41</v>
      </c>
      <c r="R31" s="83"/>
    </row>
    <row r="32" spans="13:18" x14ac:dyDescent="0.25">
      <c r="M32" s="46">
        <f>$N$2</f>
        <v>0</v>
      </c>
      <c r="N32" s="47">
        <f>B9/1000</f>
        <v>0</v>
      </c>
      <c r="O32" s="47">
        <f t="shared" ref="O32:R32" si="6">C9/1000</f>
        <v>0</v>
      </c>
      <c r="P32" s="47">
        <f t="shared" si="6"/>
        <v>0</v>
      </c>
      <c r="Q32" s="47">
        <f t="shared" si="6"/>
        <v>0</v>
      </c>
      <c r="R32" s="47">
        <f t="shared" si="6"/>
        <v>0</v>
      </c>
    </row>
    <row r="33" spans="13:18" x14ac:dyDescent="0.25">
      <c r="M33" s="46">
        <f>$O$2</f>
        <v>0</v>
      </c>
      <c r="N33" s="47">
        <f>H9/1000</f>
        <v>0</v>
      </c>
      <c r="O33" s="47">
        <f t="shared" ref="O33:R33" si="7">I9/1000</f>
        <v>0</v>
      </c>
      <c r="P33" s="47">
        <f t="shared" si="7"/>
        <v>0</v>
      </c>
      <c r="Q33" s="47">
        <f t="shared" si="7"/>
        <v>0</v>
      </c>
      <c r="R33" s="47">
        <f t="shared" si="7"/>
        <v>0</v>
      </c>
    </row>
    <row r="34" spans="13:18" x14ac:dyDescent="0.25">
      <c r="M34" s="45" t="s">
        <v>42</v>
      </c>
      <c r="N34" s="48">
        <f>N33-N32</f>
        <v>0</v>
      </c>
      <c r="O34" s="48">
        <f>O33-O32</f>
        <v>0</v>
      </c>
      <c r="P34" s="48">
        <f>P33-P32</f>
        <v>0</v>
      </c>
      <c r="Q34" s="48">
        <f>Q33-Q32</f>
        <v>0</v>
      </c>
      <c r="R34" s="48">
        <f>R33-R32</f>
        <v>0</v>
      </c>
    </row>
    <row r="35" spans="13:18" x14ac:dyDescent="0.25">
      <c r="M35" s="43"/>
      <c r="N35" s="43"/>
      <c r="O35" s="43"/>
      <c r="P35" s="43"/>
      <c r="Q35" s="43"/>
      <c r="R35" s="43"/>
    </row>
    <row r="36" spans="13:18" x14ac:dyDescent="0.25">
      <c r="M36" s="44" t="s">
        <v>116</v>
      </c>
      <c r="N36" s="43"/>
      <c r="O36" s="43"/>
      <c r="P36" s="43"/>
      <c r="Q36" s="43"/>
      <c r="R36" s="43">
        <f>A10</f>
        <v>0</v>
      </c>
    </row>
    <row r="37" spans="13:18" x14ac:dyDescent="0.25">
      <c r="M37" s="45"/>
      <c r="N37" s="81" t="s">
        <v>30</v>
      </c>
      <c r="O37" s="81"/>
      <c r="P37" s="81" t="s">
        <v>31</v>
      </c>
      <c r="Q37" s="81"/>
      <c r="R37" s="82" t="s">
        <v>32</v>
      </c>
    </row>
    <row r="38" spans="13:18" x14ac:dyDescent="0.25">
      <c r="M38" s="45" t="s">
        <v>39</v>
      </c>
      <c r="N38" s="45" t="s">
        <v>40</v>
      </c>
      <c r="O38" s="45" t="s">
        <v>41</v>
      </c>
      <c r="P38" s="45" t="s">
        <v>40</v>
      </c>
      <c r="Q38" s="45" t="s">
        <v>41</v>
      </c>
      <c r="R38" s="83"/>
    </row>
    <row r="39" spans="13:18" x14ac:dyDescent="0.25">
      <c r="M39" s="46">
        <f>$N$2</f>
        <v>0</v>
      </c>
      <c r="N39" s="47">
        <f>B10/1000</f>
        <v>0</v>
      </c>
      <c r="O39" s="47">
        <f t="shared" ref="O39:R39" si="8">C10/1000</f>
        <v>0</v>
      </c>
      <c r="P39" s="47">
        <f t="shared" si="8"/>
        <v>0</v>
      </c>
      <c r="Q39" s="47">
        <f t="shared" si="8"/>
        <v>0</v>
      </c>
      <c r="R39" s="47">
        <f t="shared" si="8"/>
        <v>0</v>
      </c>
    </row>
    <row r="40" spans="13:18" x14ac:dyDescent="0.25">
      <c r="M40" s="46">
        <f>$O$2</f>
        <v>0</v>
      </c>
      <c r="N40" s="47">
        <f>H10/1000</f>
        <v>0</v>
      </c>
      <c r="O40" s="47">
        <f t="shared" ref="O40:R40" si="9">I10/1000</f>
        <v>0</v>
      </c>
      <c r="P40" s="47">
        <f t="shared" si="9"/>
        <v>0</v>
      </c>
      <c r="Q40" s="47">
        <f t="shared" si="9"/>
        <v>0</v>
      </c>
      <c r="R40" s="47">
        <f t="shared" si="9"/>
        <v>0</v>
      </c>
    </row>
    <row r="41" spans="13:18" x14ac:dyDescent="0.25">
      <c r="M41" s="45" t="s">
        <v>42</v>
      </c>
      <c r="N41" s="48">
        <f>N40-N39</f>
        <v>0</v>
      </c>
      <c r="O41" s="48">
        <f>O40-O39</f>
        <v>0</v>
      </c>
      <c r="P41" s="48">
        <f>P40-P39</f>
        <v>0</v>
      </c>
      <c r="Q41" s="48">
        <f>Q40-Q39</f>
        <v>0</v>
      </c>
      <c r="R41" s="48">
        <f>R40-R39</f>
        <v>0</v>
      </c>
    </row>
    <row r="42" spans="13:18" x14ac:dyDescent="0.25">
      <c r="M42" s="43"/>
      <c r="N42" s="43"/>
      <c r="O42" s="43"/>
      <c r="P42" s="43"/>
      <c r="Q42" s="43"/>
      <c r="R42" s="43"/>
    </row>
    <row r="43" spans="13:18" x14ac:dyDescent="0.25">
      <c r="M43" s="44" t="s">
        <v>117</v>
      </c>
      <c r="N43" s="43"/>
      <c r="O43" s="43"/>
      <c r="P43" s="43"/>
      <c r="Q43" s="43"/>
      <c r="R43" s="43">
        <f>A11</f>
        <v>0</v>
      </c>
    </row>
    <row r="44" spans="13:18" x14ac:dyDescent="0.25">
      <c r="M44" s="45"/>
      <c r="N44" s="81" t="s">
        <v>30</v>
      </c>
      <c r="O44" s="81"/>
      <c r="P44" s="81" t="s">
        <v>31</v>
      </c>
      <c r="Q44" s="81"/>
      <c r="R44" s="82" t="s">
        <v>32</v>
      </c>
    </row>
    <row r="45" spans="13:18" x14ac:dyDescent="0.25">
      <c r="M45" s="45" t="s">
        <v>39</v>
      </c>
      <c r="N45" s="45" t="s">
        <v>40</v>
      </c>
      <c r="O45" s="45" t="s">
        <v>41</v>
      </c>
      <c r="P45" s="45" t="s">
        <v>40</v>
      </c>
      <c r="Q45" s="45" t="s">
        <v>41</v>
      </c>
      <c r="R45" s="83"/>
    </row>
    <row r="46" spans="13:18" x14ac:dyDescent="0.25">
      <c r="M46" s="46">
        <f>$N$2</f>
        <v>0</v>
      </c>
      <c r="N46" s="47">
        <f>B11/1000</f>
        <v>0</v>
      </c>
      <c r="O46" s="47">
        <f t="shared" ref="O46:R46" si="10">C11/1000</f>
        <v>0</v>
      </c>
      <c r="P46" s="47">
        <f t="shared" si="10"/>
        <v>0</v>
      </c>
      <c r="Q46" s="47">
        <f t="shared" si="10"/>
        <v>0</v>
      </c>
      <c r="R46" s="47">
        <f t="shared" si="10"/>
        <v>0</v>
      </c>
    </row>
    <row r="47" spans="13:18" x14ac:dyDescent="0.25">
      <c r="M47" s="46">
        <f>$O$2</f>
        <v>0</v>
      </c>
      <c r="N47" s="47">
        <f>H11/1000</f>
        <v>0</v>
      </c>
      <c r="O47" s="47">
        <f t="shared" ref="O47:R47" si="11">I11/1000</f>
        <v>0</v>
      </c>
      <c r="P47" s="47">
        <f t="shared" si="11"/>
        <v>0</v>
      </c>
      <c r="Q47" s="47">
        <f t="shared" si="11"/>
        <v>0</v>
      </c>
      <c r="R47" s="47">
        <f t="shared" si="11"/>
        <v>0</v>
      </c>
    </row>
    <row r="48" spans="13:18" x14ac:dyDescent="0.25">
      <c r="M48" s="45" t="s">
        <v>42</v>
      </c>
      <c r="N48" s="48">
        <f>N47-N46</f>
        <v>0</v>
      </c>
      <c r="O48" s="48">
        <f>O47-O46</f>
        <v>0</v>
      </c>
      <c r="P48" s="48">
        <f>P47-P46</f>
        <v>0</v>
      </c>
      <c r="Q48" s="48">
        <f>Q47-Q46</f>
        <v>0</v>
      </c>
      <c r="R48" s="48">
        <f>R47-R46</f>
        <v>0</v>
      </c>
    </row>
    <row r="49" spans="13:18" x14ac:dyDescent="0.25">
      <c r="M49" s="43"/>
      <c r="N49" s="43"/>
      <c r="O49" s="43"/>
      <c r="P49" s="43"/>
      <c r="Q49" s="43"/>
      <c r="R49" s="43"/>
    </row>
    <row r="50" spans="13:18" x14ac:dyDescent="0.25">
      <c r="M50" s="44" t="s">
        <v>118</v>
      </c>
      <c r="N50" s="43"/>
      <c r="O50" s="43"/>
      <c r="P50" s="43"/>
      <c r="Q50" s="43"/>
      <c r="R50" s="43">
        <f>A12</f>
        <v>0</v>
      </c>
    </row>
    <row r="51" spans="13:18" x14ac:dyDescent="0.25">
      <c r="M51" s="45"/>
      <c r="N51" s="81" t="s">
        <v>30</v>
      </c>
      <c r="O51" s="81"/>
      <c r="P51" s="81" t="s">
        <v>31</v>
      </c>
      <c r="Q51" s="81"/>
      <c r="R51" s="82" t="s">
        <v>32</v>
      </c>
    </row>
    <row r="52" spans="13:18" x14ac:dyDescent="0.25">
      <c r="M52" s="45" t="s">
        <v>39</v>
      </c>
      <c r="N52" s="45" t="s">
        <v>40</v>
      </c>
      <c r="O52" s="45" t="s">
        <v>41</v>
      </c>
      <c r="P52" s="45" t="s">
        <v>40</v>
      </c>
      <c r="Q52" s="45" t="s">
        <v>41</v>
      </c>
      <c r="R52" s="83"/>
    </row>
    <row r="53" spans="13:18" x14ac:dyDescent="0.25">
      <c r="M53" s="46">
        <f>$N$2</f>
        <v>0</v>
      </c>
      <c r="N53" s="47">
        <f>B12/1000</f>
        <v>0</v>
      </c>
      <c r="O53" s="47">
        <f t="shared" ref="O53:R53" si="12">C12/1000</f>
        <v>0</v>
      </c>
      <c r="P53" s="47">
        <f t="shared" si="12"/>
        <v>0</v>
      </c>
      <c r="Q53" s="47">
        <f t="shared" si="12"/>
        <v>0</v>
      </c>
      <c r="R53" s="47">
        <f t="shared" si="12"/>
        <v>0</v>
      </c>
    </row>
    <row r="54" spans="13:18" x14ac:dyDescent="0.25">
      <c r="M54" s="46">
        <f>$O$2</f>
        <v>0</v>
      </c>
      <c r="N54" s="47">
        <f>H12/1000</f>
        <v>0</v>
      </c>
      <c r="O54" s="47">
        <f t="shared" ref="O54:R54" si="13">I12/1000</f>
        <v>0</v>
      </c>
      <c r="P54" s="47">
        <f t="shared" si="13"/>
        <v>0</v>
      </c>
      <c r="Q54" s="47">
        <f t="shared" si="13"/>
        <v>0</v>
      </c>
      <c r="R54" s="47">
        <f t="shared" si="13"/>
        <v>0</v>
      </c>
    </row>
    <row r="55" spans="13:18" x14ac:dyDescent="0.25">
      <c r="M55" s="45" t="s">
        <v>42</v>
      </c>
      <c r="N55" s="48">
        <f>N54-N53</f>
        <v>0</v>
      </c>
      <c r="O55" s="48">
        <f>O54-O53</f>
        <v>0</v>
      </c>
      <c r="P55" s="48">
        <f>P54-P53</f>
        <v>0</v>
      </c>
      <c r="Q55" s="48">
        <f>Q54-Q53</f>
        <v>0</v>
      </c>
      <c r="R55" s="48">
        <f>R54-R53</f>
        <v>0</v>
      </c>
    </row>
    <row r="56" spans="13:18" x14ac:dyDescent="0.25">
      <c r="M56" s="43"/>
      <c r="N56" s="43"/>
      <c r="O56" s="43"/>
      <c r="P56" s="43"/>
      <c r="Q56" s="43"/>
      <c r="R56" s="43"/>
    </row>
    <row r="57" spans="13:18" x14ac:dyDescent="0.25">
      <c r="M57" s="44" t="s">
        <v>119</v>
      </c>
      <c r="N57" s="43"/>
      <c r="O57" s="43"/>
      <c r="P57" s="43"/>
      <c r="Q57" s="43"/>
      <c r="R57" s="43">
        <f>A13</f>
        <v>0</v>
      </c>
    </row>
    <row r="58" spans="13:18" x14ac:dyDescent="0.25">
      <c r="M58" s="45"/>
      <c r="N58" s="81" t="s">
        <v>30</v>
      </c>
      <c r="O58" s="81"/>
      <c r="P58" s="81" t="s">
        <v>31</v>
      </c>
      <c r="Q58" s="81"/>
      <c r="R58" s="82" t="s">
        <v>32</v>
      </c>
    </row>
    <row r="59" spans="13:18" x14ac:dyDescent="0.25">
      <c r="M59" s="45" t="s">
        <v>39</v>
      </c>
      <c r="N59" s="45" t="s">
        <v>40</v>
      </c>
      <c r="O59" s="45" t="s">
        <v>41</v>
      </c>
      <c r="P59" s="45" t="s">
        <v>40</v>
      </c>
      <c r="Q59" s="45" t="s">
        <v>41</v>
      </c>
      <c r="R59" s="83"/>
    </row>
    <row r="60" spans="13:18" x14ac:dyDescent="0.25">
      <c r="M60" s="46">
        <f>$N$2</f>
        <v>0</v>
      </c>
      <c r="N60" s="47">
        <f>B13/1000</f>
        <v>0</v>
      </c>
      <c r="O60" s="47">
        <f t="shared" ref="O60:R60" si="14">C13/1000</f>
        <v>0</v>
      </c>
      <c r="P60" s="47">
        <f t="shared" si="14"/>
        <v>0</v>
      </c>
      <c r="Q60" s="47">
        <f t="shared" si="14"/>
        <v>0</v>
      </c>
      <c r="R60" s="47">
        <f t="shared" si="14"/>
        <v>0</v>
      </c>
    </row>
    <row r="61" spans="13:18" x14ac:dyDescent="0.25">
      <c r="M61" s="46">
        <f>$O$2</f>
        <v>0</v>
      </c>
      <c r="N61" s="47">
        <f>H13/1000</f>
        <v>0</v>
      </c>
      <c r="O61" s="47">
        <f t="shared" ref="O61:R61" si="15">I13/1000</f>
        <v>0</v>
      </c>
      <c r="P61" s="47">
        <f t="shared" si="15"/>
        <v>0</v>
      </c>
      <c r="Q61" s="47">
        <f t="shared" si="15"/>
        <v>0</v>
      </c>
      <c r="R61" s="47">
        <f t="shared" si="15"/>
        <v>0</v>
      </c>
    </row>
    <row r="62" spans="13:18" x14ac:dyDescent="0.25">
      <c r="M62" s="45" t="s">
        <v>42</v>
      </c>
      <c r="N62" s="48">
        <f>N61-N60</f>
        <v>0</v>
      </c>
      <c r="O62" s="48">
        <f>O61-O60</f>
        <v>0</v>
      </c>
      <c r="P62" s="48">
        <f>P61-P60</f>
        <v>0</v>
      </c>
      <c r="Q62" s="48">
        <f>Q61-Q60</f>
        <v>0</v>
      </c>
      <c r="R62" s="48">
        <f>R61-R60</f>
        <v>0</v>
      </c>
    </row>
    <row r="63" spans="13:18" x14ac:dyDescent="0.25">
      <c r="M63" s="43"/>
      <c r="N63" s="43"/>
      <c r="O63" s="43"/>
      <c r="P63" s="43"/>
      <c r="Q63" s="43"/>
      <c r="R63" s="43"/>
    </row>
    <row r="64" spans="13:18" x14ac:dyDescent="0.25">
      <c r="M64" s="44" t="s">
        <v>120</v>
      </c>
      <c r="N64" s="43"/>
      <c r="O64" s="43"/>
      <c r="P64" s="43"/>
      <c r="Q64" s="43"/>
      <c r="R64" s="43">
        <f>A14</f>
        <v>0</v>
      </c>
    </row>
    <row r="65" spans="13:18" x14ac:dyDescent="0.25">
      <c r="M65" s="45"/>
      <c r="N65" s="81" t="s">
        <v>30</v>
      </c>
      <c r="O65" s="81"/>
      <c r="P65" s="81" t="s">
        <v>31</v>
      </c>
      <c r="Q65" s="81"/>
      <c r="R65" s="82" t="s">
        <v>32</v>
      </c>
    </row>
    <row r="66" spans="13:18" x14ac:dyDescent="0.25">
      <c r="M66" s="45" t="s">
        <v>39</v>
      </c>
      <c r="N66" s="45" t="s">
        <v>40</v>
      </c>
      <c r="O66" s="45" t="s">
        <v>41</v>
      </c>
      <c r="P66" s="45" t="s">
        <v>40</v>
      </c>
      <c r="Q66" s="45" t="s">
        <v>41</v>
      </c>
      <c r="R66" s="83"/>
    </row>
    <row r="67" spans="13:18" x14ac:dyDescent="0.25">
      <c r="M67" s="46">
        <f>$N$2</f>
        <v>0</v>
      </c>
      <c r="N67" s="47">
        <f>B14/1000</f>
        <v>0</v>
      </c>
      <c r="O67" s="47">
        <f t="shared" ref="O67:R67" si="16">C14/1000</f>
        <v>0</v>
      </c>
      <c r="P67" s="47">
        <f t="shared" si="16"/>
        <v>0</v>
      </c>
      <c r="Q67" s="47">
        <f t="shared" si="16"/>
        <v>0</v>
      </c>
      <c r="R67" s="47">
        <f t="shared" si="16"/>
        <v>0</v>
      </c>
    </row>
    <row r="68" spans="13:18" x14ac:dyDescent="0.25">
      <c r="M68" s="46">
        <f>$O$2</f>
        <v>0</v>
      </c>
      <c r="N68" s="47">
        <f>H14/1000</f>
        <v>0</v>
      </c>
      <c r="O68" s="47">
        <f t="shared" ref="O68:R68" si="17">I14/1000</f>
        <v>0</v>
      </c>
      <c r="P68" s="47">
        <f t="shared" si="17"/>
        <v>0</v>
      </c>
      <c r="Q68" s="47">
        <f t="shared" si="17"/>
        <v>0</v>
      </c>
      <c r="R68" s="47">
        <f t="shared" si="17"/>
        <v>0</v>
      </c>
    </row>
    <row r="69" spans="13:18" x14ac:dyDescent="0.25">
      <c r="M69" s="45" t="s">
        <v>42</v>
      </c>
      <c r="N69" s="48">
        <f>N68-N67</f>
        <v>0</v>
      </c>
      <c r="O69" s="48">
        <f>O68-O67</f>
        <v>0</v>
      </c>
      <c r="P69" s="48">
        <f>P68-P67</f>
        <v>0</v>
      </c>
      <c r="Q69" s="48">
        <f>Q68-Q67</f>
        <v>0</v>
      </c>
      <c r="R69" s="48">
        <f>R68-R67</f>
        <v>0</v>
      </c>
    </row>
    <row r="70" spans="13:18" x14ac:dyDescent="0.25">
      <c r="M70" s="43"/>
      <c r="N70" s="43"/>
      <c r="O70" s="43"/>
      <c r="P70" s="43"/>
      <c r="Q70" s="43"/>
      <c r="R70" s="43"/>
    </row>
    <row r="71" spans="13:18" x14ac:dyDescent="0.25">
      <c r="M71" s="44" t="s">
        <v>121</v>
      </c>
      <c r="N71" s="43"/>
      <c r="O71" s="43"/>
      <c r="P71" s="43"/>
      <c r="Q71" s="43"/>
      <c r="R71" s="43">
        <f>A15</f>
        <v>0</v>
      </c>
    </row>
    <row r="72" spans="13:18" x14ac:dyDescent="0.25">
      <c r="M72" s="45"/>
      <c r="N72" s="81" t="s">
        <v>30</v>
      </c>
      <c r="O72" s="81"/>
      <c r="P72" s="81" t="s">
        <v>31</v>
      </c>
      <c r="Q72" s="81"/>
      <c r="R72" s="82" t="s">
        <v>32</v>
      </c>
    </row>
    <row r="73" spans="13:18" x14ac:dyDescent="0.25">
      <c r="M73" s="45" t="s">
        <v>39</v>
      </c>
      <c r="N73" s="45" t="s">
        <v>40</v>
      </c>
      <c r="O73" s="45" t="s">
        <v>41</v>
      </c>
      <c r="P73" s="45" t="s">
        <v>40</v>
      </c>
      <c r="Q73" s="45" t="s">
        <v>41</v>
      </c>
      <c r="R73" s="83"/>
    </row>
    <row r="74" spans="13:18" x14ac:dyDescent="0.25">
      <c r="M74" s="46">
        <f>$N$2</f>
        <v>0</v>
      </c>
      <c r="N74" s="47">
        <f>B15/1000</f>
        <v>0</v>
      </c>
      <c r="O74" s="47">
        <f t="shared" ref="O74:R74" si="18">C15/1000</f>
        <v>0</v>
      </c>
      <c r="P74" s="47">
        <f t="shared" si="18"/>
        <v>0</v>
      </c>
      <c r="Q74" s="47">
        <f t="shared" si="18"/>
        <v>0</v>
      </c>
      <c r="R74" s="47">
        <f t="shared" si="18"/>
        <v>0</v>
      </c>
    </row>
    <row r="75" spans="13:18" x14ac:dyDescent="0.25">
      <c r="M75" s="46">
        <f>$O$2</f>
        <v>0</v>
      </c>
      <c r="N75" s="47">
        <f>H15/1000</f>
        <v>0</v>
      </c>
      <c r="O75" s="47">
        <f t="shared" ref="O75:R75" si="19">I15/1000</f>
        <v>0</v>
      </c>
      <c r="P75" s="47">
        <f t="shared" si="19"/>
        <v>0</v>
      </c>
      <c r="Q75" s="47">
        <f t="shared" si="19"/>
        <v>0</v>
      </c>
      <c r="R75" s="47">
        <f t="shared" si="19"/>
        <v>0</v>
      </c>
    </row>
    <row r="76" spans="13:18" x14ac:dyDescent="0.25">
      <c r="M76" s="45" t="s">
        <v>42</v>
      </c>
      <c r="N76" s="48">
        <f>N75-N74</f>
        <v>0</v>
      </c>
      <c r="O76" s="48">
        <f>O75-O74</f>
        <v>0</v>
      </c>
      <c r="P76" s="48">
        <f>P75-P74</f>
        <v>0</v>
      </c>
      <c r="Q76" s="48">
        <f>Q75-Q74</f>
        <v>0</v>
      </c>
      <c r="R76" s="48">
        <f>R75-R74</f>
        <v>0</v>
      </c>
    </row>
    <row r="77" spans="13:18" ht="15.75" thickBot="1" x14ac:dyDescent="0.3">
      <c r="M77" s="43"/>
      <c r="N77" s="43"/>
      <c r="O77" s="43"/>
      <c r="P77" s="43"/>
      <c r="Q77" s="43"/>
      <c r="R77" s="43"/>
    </row>
    <row r="78" spans="13:18" ht="15.75" thickBot="1" x14ac:dyDescent="0.3">
      <c r="M78" s="49" t="s">
        <v>122</v>
      </c>
      <c r="N78" s="50">
        <f>N34+N41+N48+N55+N62+N69+N76</f>
        <v>0</v>
      </c>
      <c r="O78" s="50">
        <f t="shared" ref="O78:Q78" si="20">O34+O41+O48+O55+O62+O69+O76</f>
        <v>0</v>
      </c>
      <c r="P78" s="50">
        <f t="shared" si="20"/>
        <v>0</v>
      </c>
      <c r="Q78" s="50">
        <f t="shared" si="20"/>
        <v>0</v>
      </c>
      <c r="R78" s="50">
        <f>R34+R41+R48+R55+R62+R69+R76</f>
        <v>0</v>
      </c>
    </row>
    <row r="79" spans="13:18" x14ac:dyDescent="0.25">
      <c r="M79" s="43"/>
      <c r="N79" s="43"/>
      <c r="O79" s="43"/>
      <c r="P79" s="43"/>
      <c r="Q79" s="43"/>
      <c r="R79" s="43"/>
    </row>
    <row r="80" spans="13:18" ht="15.75" x14ac:dyDescent="0.25">
      <c r="M80" s="41" t="s">
        <v>48</v>
      </c>
      <c r="N80" s="43"/>
      <c r="O80" s="43"/>
      <c r="P80" s="43"/>
      <c r="Q80" s="43"/>
      <c r="R80" s="43"/>
    </row>
    <row r="81" spans="13:18" x14ac:dyDescent="0.25">
      <c r="M81" s="44" t="s">
        <v>123</v>
      </c>
      <c r="N81" s="43"/>
      <c r="O81" s="43"/>
      <c r="P81" s="43"/>
      <c r="Q81" s="43"/>
      <c r="R81" s="43">
        <f>A16</f>
        <v>0</v>
      </c>
    </row>
    <row r="82" spans="13:18" x14ac:dyDescent="0.25">
      <c r="M82" s="45"/>
      <c r="N82" s="81" t="s">
        <v>30</v>
      </c>
      <c r="O82" s="81"/>
      <c r="P82" s="81" t="s">
        <v>31</v>
      </c>
      <c r="Q82" s="81"/>
      <c r="R82" s="82" t="s">
        <v>32</v>
      </c>
    </row>
    <row r="83" spans="13:18" x14ac:dyDescent="0.25">
      <c r="M83" s="45" t="s">
        <v>39</v>
      </c>
      <c r="N83" s="45" t="s">
        <v>40</v>
      </c>
      <c r="O83" s="45" t="s">
        <v>41</v>
      </c>
      <c r="P83" s="45" t="s">
        <v>40</v>
      </c>
      <c r="Q83" s="45" t="s">
        <v>41</v>
      </c>
      <c r="R83" s="83"/>
    </row>
    <row r="84" spans="13:18" x14ac:dyDescent="0.25">
      <c r="M84" s="46">
        <f>$N$2</f>
        <v>0</v>
      </c>
      <c r="N84" s="47">
        <f>B16/1000</f>
        <v>0</v>
      </c>
      <c r="O84" s="47">
        <f t="shared" ref="O84:R84" si="21">C16/1000</f>
        <v>0</v>
      </c>
      <c r="P84" s="47">
        <f t="shared" si="21"/>
        <v>0</v>
      </c>
      <c r="Q84" s="47">
        <f t="shared" si="21"/>
        <v>0</v>
      </c>
      <c r="R84" s="47">
        <f t="shared" si="21"/>
        <v>0</v>
      </c>
    </row>
    <row r="85" spans="13:18" x14ac:dyDescent="0.25">
      <c r="M85" s="46">
        <f>$O$2</f>
        <v>0</v>
      </c>
      <c r="N85" s="47">
        <f>H16/1000</f>
        <v>0</v>
      </c>
      <c r="O85" s="47">
        <f t="shared" ref="O85:R85" si="22">I16/1000</f>
        <v>0</v>
      </c>
      <c r="P85" s="47">
        <f t="shared" si="22"/>
        <v>0</v>
      </c>
      <c r="Q85" s="47">
        <f t="shared" si="22"/>
        <v>0</v>
      </c>
      <c r="R85" s="47">
        <f t="shared" si="22"/>
        <v>0</v>
      </c>
    </row>
    <row r="86" spans="13:18" x14ac:dyDescent="0.25">
      <c r="M86" s="45" t="s">
        <v>42</v>
      </c>
      <c r="N86" s="48">
        <f>N85-N84</f>
        <v>0</v>
      </c>
      <c r="O86" s="48">
        <f>O85-O84</f>
        <v>0</v>
      </c>
      <c r="P86" s="48">
        <f>P85-P84</f>
        <v>0</v>
      </c>
      <c r="Q86" s="48">
        <f>Q85-Q84</f>
        <v>0</v>
      </c>
      <c r="R86" s="48">
        <f>R85-R84</f>
        <v>0</v>
      </c>
    </row>
    <row r="87" spans="13:18" x14ac:dyDescent="0.25">
      <c r="M87" s="43"/>
      <c r="N87" s="43"/>
      <c r="O87" s="43"/>
      <c r="P87" s="43"/>
      <c r="Q87" s="43"/>
      <c r="R87" s="43"/>
    </row>
    <row r="88" spans="13:18" x14ac:dyDescent="0.25">
      <c r="M88" s="44" t="s">
        <v>124</v>
      </c>
      <c r="N88" s="43"/>
      <c r="O88" s="43"/>
      <c r="P88" s="43"/>
      <c r="Q88" s="43"/>
      <c r="R88" s="43">
        <f>A17</f>
        <v>0</v>
      </c>
    </row>
    <row r="89" spans="13:18" x14ac:dyDescent="0.25">
      <c r="M89" s="45"/>
      <c r="N89" s="81" t="s">
        <v>30</v>
      </c>
      <c r="O89" s="81"/>
      <c r="P89" s="81" t="s">
        <v>31</v>
      </c>
      <c r="Q89" s="81"/>
      <c r="R89" s="82" t="s">
        <v>32</v>
      </c>
    </row>
    <row r="90" spans="13:18" x14ac:dyDescent="0.25">
      <c r="M90" s="45" t="s">
        <v>39</v>
      </c>
      <c r="N90" s="45" t="s">
        <v>40</v>
      </c>
      <c r="O90" s="45" t="s">
        <v>41</v>
      </c>
      <c r="P90" s="45" t="s">
        <v>40</v>
      </c>
      <c r="Q90" s="45" t="s">
        <v>41</v>
      </c>
      <c r="R90" s="83"/>
    </row>
    <row r="91" spans="13:18" x14ac:dyDescent="0.25">
      <c r="M91" s="46">
        <f>$N$2</f>
        <v>0</v>
      </c>
      <c r="N91" s="47">
        <f>B17/1000</f>
        <v>0</v>
      </c>
      <c r="O91" s="47">
        <f t="shared" ref="O91:R91" si="23">C17/1000</f>
        <v>0</v>
      </c>
      <c r="P91" s="47">
        <f t="shared" si="23"/>
        <v>0</v>
      </c>
      <c r="Q91" s="47">
        <f t="shared" si="23"/>
        <v>0</v>
      </c>
      <c r="R91" s="47">
        <f t="shared" si="23"/>
        <v>0</v>
      </c>
    </row>
    <row r="92" spans="13:18" x14ac:dyDescent="0.25">
      <c r="M92" s="46">
        <f>$O$2</f>
        <v>0</v>
      </c>
      <c r="N92" s="47">
        <f>H17/1000</f>
        <v>0</v>
      </c>
      <c r="O92" s="47">
        <f t="shared" ref="O92:R92" si="24">I17/1000</f>
        <v>0</v>
      </c>
      <c r="P92" s="47">
        <f t="shared" si="24"/>
        <v>0</v>
      </c>
      <c r="Q92" s="47">
        <f t="shared" si="24"/>
        <v>0</v>
      </c>
      <c r="R92" s="47">
        <f t="shared" si="24"/>
        <v>0</v>
      </c>
    </row>
    <row r="93" spans="13:18" x14ac:dyDescent="0.25">
      <c r="M93" s="45" t="s">
        <v>42</v>
      </c>
      <c r="N93" s="48">
        <f>N92-N91</f>
        <v>0</v>
      </c>
      <c r="O93" s="48">
        <f>O92-O91</f>
        <v>0</v>
      </c>
      <c r="P93" s="48">
        <f>P92-P91</f>
        <v>0</v>
      </c>
      <c r="Q93" s="48">
        <f>Q92-Q91</f>
        <v>0</v>
      </c>
      <c r="R93" s="48">
        <f>R92-R91</f>
        <v>0</v>
      </c>
    </row>
    <row r="94" spans="13:18" x14ac:dyDescent="0.25">
      <c r="M94" s="43"/>
      <c r="N94" s="43"/>
      <c r="O94" s="43"/>
      <c r="P94" s="43"/>
      <c r="Q94" s="43"/>
      <c r="R94" s="43"/>
    </row>
    <row r="95" spans="13:18" x14ac:dyDescent="0.25">
      <c r="M95" s="44" t="s">
        <v>125</v>
      </c>
      <c r="N95" s="43"/>
      <c r="O95" s="43"/>
      <c r="P95" s="43"/>
      <c r="Q95" s="43"/>
      <c r="R95" s="43">
        <f>A18</f>
        <v>0</v>
      </c>
    </row>
    <row r="96" spans="13:18" x14ac:dyDescent="0.25">
      <c r="M96" s="45"/>
      <c r="N96" s="81" t="s">
        <v>30</v>
      </c>
      <c r="O96" s="81"/>
      <c r="P96" s="81" t="s">
        <v>31</v>
      </c>
      <c r="Q96" s="81"/>
      <c r="R96" s="82" t="s">
        <v>32</v>
      </c>
    </row>
    <row r="97" spans="13:18" x14ac:dyDescent="0.25">
      <c r="M97" s="45" t="s">
        <v>39</v>
      </c>
      <c r="N97" s="45" t="s">
        <v>40</v>
      </c>
      <c r="O97" s="45" t="s">
        <v>41</v>
      </c>
      <c r="P97" s="45" t="s">
        <v>40</v>
      </c>
      <c r="Q97" s="45" t="s">
        <v>41</v>
      </c>
      <c r="R97" s="83"/>
    </row>
    <row r="98" spans="13:18" x14ac:dyDescent="0.25">
      <c r="M98" s="46">
        <f>$N$2</f>
        <v>0</v>
      </c>
      <c r="N98" s="47">
        <f>B18/1000</f>
        <v>0</v>
      </c>
      <c r="O98" s="47">
        <f t="shared" ref="O98:R98" si="25">C18/1000</f>
        <v>0</v>
      </c>
      <c r="P98" s="47">
        <f t="shared" si="25"/>
        <v>0</v>
      </c>
      <c r="Q98" s="47">
        <f t="shared" si="25"/>
        <v>0</v>
      </c>
      <c r="R98" s="47">
        <f t="shared" si="25"/>
        <v>0</v>
      </c>
    </row>
    <row r="99" spans="13:18" x14ac:dyDescent="0.25">
      <c r="M99" s="46">
        <f>$O$2</f>
        <v>0</v>
      </c>
      <c r="N99" s="47">
        <f>H18/1000</f>
        <v>0</v>
      </c>
      <c r="O99" s="47">
        <f t="shared" ref="O99:R99" si="26">I18/1000</f>
        <v>0</v>
      </c>
      <c r="P99" s="47">
        <f t="shared" si="26"/>
        <v>0</v>
      </c>
      <c r="Q99" s="47">
        <f t="shared" si="26"/>
        <v>0</v>
      </c>
      <c r="R99" s="47">
        <f t="shared" si="26"/>
        <v>0</v>
      </c>
    </row>
    <row r="100" spans="13:18" x14ac:dyDescent="0.25">
      <c r="M100" s="45" t="s">
        <v>42</v>
      </c>
      <c r="N100" s="48">
        <f>N99-N98</f>
        <v>0</v>
      </c>
      <c r="O100" s="48">
        <f>O99-O98</f>
        <v>0</v>
      </c>
      <c r="P100" s="48">
        <f>P99-P98</f>
        <v>0</v>
      </c>
      <c r="Q100" s="48">
        <f>Q99-Q98</f>
        <v>0</v>
      </c>
      <c r="R100" s="48">
        <f>R99-R98</f>
        <v>0</v>
      </c>
    </row>
    <row r="101" spans="13:18" x14ac:dyDescent="0.25">
      <c r="M101" s="43"/>
      <c r="N101" s="43"/>
      <c r="O101" s="43"/>
      <c r="P101" s="43"/>
      <c r="Q101" s="43"/>
      <c r="R101" s="43"/>
    </row>
    <row r="102" spans="13:18" x14ac:dyDescent="0.25">
      <c r="M102" s="44" t="s">
        <v>126</v>
      </c>
      <c r="N102" s="43"/>
      <c r="O102" s="43"/>
      <c r="P102" s="43"/>
      <c r="Q102" s="43"/>
      <c r="R102" s="43">
        <f>A19</f>
        <v>0</v>
      </c>
    </row>
    <row r="103" spans="13:18" x14ac:dyDescent="0.25">
      <c r="M103" s="45"/>
      <c r="N103" s="81" t="s">
        <v>30</v>
      </c>
      <c r="O103" s="81"/>
      <c r="P103" s="81" t="s">
        <v>31</v>
      </c>
      <c r="Q103" s="81"/>
      <c r="R103" s="82" t="s">
        <v>32</v>
      </c>
    </row>
    <row r="104" spans="13:18" x14ac:dyDescent="0.25">
      <c r="M104" s="45" t="s">
        <v>39</v>
      </c>
      <c r="N104" s="45" t="s">
        <v>40</v>
      </c>
      <c r="O104" s="45" t="s">
        <v>41</v>
      </c>
      <c r="P104" s="45" t="s">
        <v>40</v>
      </c>
      <c r="Q104" s="45" t="s">
        <v>41</v>
      </c>
      <c r="R104" s="83"/>
    </row>
    <row r="105" spans="13:18" x14ac:dyDescent="0.25">
      <c r="M105" s="46">
        <f>$N$2</f>
        <v>0</v>
      </c>
      <c r="N105" s="47">
        <f>B19/1000</f>
        <v>0</v>
      </c>
      <c r="O105" s="47">
        <f t="shared" ref="O105:R105" si="27">C19/1000</f>
        <v>0</v>
      </c>
      <c r="P105" s="47">
        <f t="shared" si="27"/>
        <v>0</v>
      </c>
      <c r="Q105" s="47">
        <f t="shared" si="27"/>
        <v>0</v>
      </c>
      <c r="R105" s="47">
        <f t="shared" si="27"/>
        <v>0</v>
      </c>
    </row>
    <row r="106" spans="13:18" x14ac:dyDescent="0.25">
      <c r="M106" s="46">
        <f>$O$2</f>
        <v>0</v>
      </c>
      <c r="N106" s="47">
        <f>H19/1000</f>
        <v>0</v>
      </c>
      <c r="O106" s="47">
        <f t="shared" ref="O106:R106" si="28">I19/1000</f>
        <v>0</v>
      </c>
      <c r="P106" s="47">
        <f t="shared" si="28"/>
        <v>0</v>
      </c>
      <c r="Q106" s="47">
        <f t="shared" si="28"/>
        <v>0</v>
      </c>
      <c r="R106" s="47">
        <f t="shared" si="28"/>
        <v>0</v>
      </c>
    </row>
    <row r="107" spans="13:18" x14ac:dyDescent="0.25">
      <c r="M107" s="45" t="s">
        <v>42</v>
      </c>
      <c r="N107" s="48">
        <f>N106-N105</f>
        <v>0</v>
      </c>
      <c r="O107" s="48">
        <f>O106-O105</f>
        <v>0</v>
      </c>
      <c r="P107" s="48">
        <f>P106-P105</f>
        <v>0</v>
      </c>
      <c r="Q107" s="48">
        <f>Q106-Q105</f>
        <v>0</v>
      </c>
      <c r="R107" s="48">
        <f>R106-R105</f>
        <v>0</v>
      </c>
    </row>
    <row r="108" spans="13:18" x14ac:dyDescent="0.25">
      <c r="M108" s="43"/>
      <c r="N108" s="43"/>
      <c r="O108" s="43"/>
      <c r="P108" s="43"/>
      <c r="Q108" s="43"/>
      <c r="R108" s="43"/>
    </row>
    <row r="109" spans="13:18" x14ac:dyDescent="0.25">
      <c r="M109" s="44" t="s">
        <v>52</v>
      </c>
      <c r="N109" s="43"/>
      <c r="O109" s="43"/>
      <c r="P109" s="43"/>
      <c r="Q109" s="43"/>
      <c r="R109" s="43">
        <f>A20</f>
        <v>0</v>
      </c>
    </row>
    <row r="110" spans="13:18" x14ac:dyDescent="0.25">
      <c r="M110" s="45"/>
      <c r="N110" s="81" t="s">
        <v>30</v>
      </c>
      <c r="O110" s="81"/>
      <c r="P110" s="81" t="s">
        <v>31</v>
      </c>
      <c r="Q110" s="81"/>
      <c r="R110" s="82" t="s">
        <v>32</v>
      </c>
    </row>
    <row r="111" spans="13:18" x14ac:dyDescent="0.25">
      <c r="M111" s="45" t="s">
        <v>39</v>
      </c>
      <c r="N111" s="45" t="s">
        <v>40</v>
      </c>
      <c r="O111" s="45" t="s">
        <v>41</v>
      </c>
      <c r="P111" s="45" t="s">
        <v>40</v>
      </c>
      <c r="Q111" s="45" t="s">
        <v>41</v>
      </c>
      <c r="R111" s="83"/>
    </row>
    <row r="112" spans="13:18" x14ac:dyDescent="0.25">
      <c r="M112" s="46">
        <f>$N$2</f>
        <v>0</v>
      </c>
      <c r="N112" s="47">
        <f>B20/1000</f>
        <v>0</v>
      </c>
      <c r="O112" s="47">
        <f t="shared" ref="O112:R112" si="29">C20/1000</f>
        <v>0</v>
      </c>
      <c r="P112" s="47">
        <f t="shared" si="29"/>
        <v>0</v>
      </c>
      <c r="Q112" s="47">
        <f t="shared" si="29"/>
        <v>0</v>
      </c>
      <c r="R112" s="47">
        <f t="shared" si="29"/>
        <v>0</v>
      </c>
    </row>
    <row r="113" spans="13:18" x14ac:dyDescent="0.25">
      <c r="M113" s="46">
        <f>$O$2</f>
        <v>0</v>
      </c>
      <c r="N113" s="47">
        <f>H20/1000</f>
        <v>0</v>
      </c>
      <c r="O113" s="47">
        <f t="shared" ref="O113:R113" si="30">I20/1000</f>
        <v>0</v>
      </c>
      <c r="P113" s="47">
        <f t="shared" si="30"/>
        <v>0</v>
      </c>
      <c r="Q113" s="47">
        <f t="shared" si="30"/>
        <v>0</v>
      </c>
      <c r="R113" s="47">
        <f t="shared" si="30"/>
        <v>0</v>
      </c>
    </row>
    <row r="114" spans="13:18" x14ac:dyDescent="0.25">
      <c r="M114" s="45" t="s">
        <v>42</v>
      </c>
      <c r="N114" s="48">
        <f>N113-N112</f>
        <v>0</v>
      </c>
      <c r="O114" s="48">
        <f>O113-O112</f>
        <v>0</v>
      </c>
      <c r="P114" s="48">
        <f>P113-P112</f>
        <v>0</v>
      </c>
      <c r="Q114" s="48">
        <f>Q113-Q112</f>
        <v>0</v>
      </c>
      <c r="R114" s="48">
        <f>R113-R112</f>
        <v>0</v>
      </c>
    </row>
    <row r="115" spans="13:18" x14ac:dyDescent="0.25">
      <c r="M115" s="43"/>
      <c r="N115" s="43"/>
      <c r="O115" s="43"/>
      <c r="P115" s="43"/>
      <c r="Q115" s="43"/>
      <c r="R115" s="43"/>
    </row>
    <row r="116" spans="13:18" x14ac:dyDescent="0.25">
      <c r="M116" s="44" t="s">
        <v>127</v>
      </c>
      <c r="N116" s="43"/>
      <c r="O116" s="43"/>
      <c r="P116" s="43"/>
      <c r="Q116" s="43"/>
      <c r="R116" s="43">
        <f>A21</f>
        <v>0</v>
      </c>
    </row>
    <row r="117" spans="13:18" x14ac:dyDescent="0.25">
      <c r="M117" s="45"/>
      <c r="N117" s="81" t="s">
        <v>30</v>
      </c>
      <c r="O117" s="81"/>
      <c r="P117" s="81" t="s">
        <v>31</v>
      </c>
      <c r="Q117" s="81"/>
      <c r="R117" s="82" t="s">
        <v>32</v>
      </c>
    </row>
    <row r="118" spans="13:18" x14ac:dyDescent="0.25">
      <c r="M118" s="45" t="s">
        <v>39</v>
      </c>
      <c r="N118" s="45" t="s">
        <v>40</v>
      </c>
      <c r="O118" s="45" t="s">
        <v>41</v>
      </c>
      <c r="P118" s="45" t="s">
        <v>40</v>
      </c>
      <c r="Q118" s="45" t="s">
        <v>41</v>
      </c>
      <c r="R118" s="83"/>
    </row>
    <row r="119" spans="13:18" x14ac:dyDescent="0.25">
      <c r="M119" s="46">
        <f>$N$2</f>
        <v>0</v>
      </c>
      <c r="N119" s="47">
        <f>B21/1000</f>
        <v>0</v>
      </c>
      <c r="O119" s="47">
        <f t="shared" ref="O119:R119" si="31">C21/1000</f>
        <v>0</v>
      </c>
      <c r="P119" s="47">
        <f t="shared" si="31"/>
        <v>0</v>
      </c>
      <c r="Q119" s="47">
        <f t="shared" si="31"/>
        <v>0</v>
      </c>
      <c r="R119" s="47">
        <f t="shared" si="31"/>
        <v>0</v>
      </c>
    </row>
    <row r="120" spans="13:18" x14ac:dyDescent="0.25">
      <c r="M120" s="46">
        <f>$O$2</f>
        <v>0</v>
      </c>
      <c r="N120" s="47">
        <f>H21/1000</f>
        <v>0</v>
      </c>
      <c r="O120" s="47">
        <f t="shared" ref="O120:R120" si="32">I21/1000</f>
        <v>0</v>
      </c>
      <c r="P120" s="47">
        <f t="shared" si="32"/>
        <v>0</v>
      </c>
      <c r="Q120" s="47">
        <f t="shared" si="32"/>
        <v>0</v>
      </c>
      <c r="R120" s="47">
        <f t="shared" si="32"/>
        <v>0</v>
      </c>
    </row>
    <row r="121" spans="13:18" x14ac:dyDescent="0.25">
      <c r="M121" s="45" t="s">
        <v>42</v>
      </c>
      <c r="N121" s="48">
        <f>N120-N119</f>
        <v>0</v>
      </c>
      <c r="O121" s="48">
        <f>O120-O119</f>
        <v>0</v>
      </c>
      <c r="P121" s="48">
        <f>P120-P119</f>
        <v>0</v>
      </c>
      <c r="Q121" s="48">
        <f>Q120-Q119</f>
        <v>0</v>
      </c>
      <c r="R121" s="48">
        <f>R120-R119</f>
        <v>0</v>
      </c>
    </row>
    <row r="122" spans="13:18" ht="15.75" thickBot="1" x14ac:dyDescent="0.3">
      <c r="M122" s="73"/>
      <c r="N122" s="74"/>
      <c r="O122" s="74"/>
      <c r="P122" s="74"/>
      <c r="Q122" s="74"/>
      <c r="R122" s="74"/>
    </row>
    <row r="123" spans="13:18" ht="15.75" thickBot="1" x14ac:dyDescent="0.3">
      <c r="M123" s="49" t="s">
        <v>128</v>
      </c>
      <c r="N123" s="50">
        <f>N86+N93+N100++N107+N114+N121</f>
        <v>0</v>
      </c>
      <c r="O123" s="50">
        <f t="shared" ref="O123:R123" si="33">O86+O93+O100++O107+O114+O121</f>
        <v>0</v>
      </c>
      <c r="P123" s="50">
        <f t="shared" si="33"/>
        <v>0</v>
      </c>
      <c r="Q123" s="50">
        <f t="shared" si="33"/>
        <v>0</v>
      </c>
      <c r="R123" s="50">
        <f t="shared" si="33"/>
        <v>0</v>
      </c>
    </row>
    <row r="124" spans="13:18" ht="15.75" thickBot="1" x14ac:dyDescent="0.3">
      <c r="M124" s="43"/>
      <c r="N124" s="43"/>
      <c r="O124" s="43"/>
      <c r="P124" s="43"/>
      <c r="Q124" s="43"/>
      <c r="R124" s="43"/>
    </row>
    <row r="125" spans="13:18" ht="15.75" thickBot="1" x14ac:dyDescent="0.3">
      <c r="M125" s="49" t="s">
        <v>129</v>
      </c>
      <c r="N125" s="50">
        <f>N78+N123</f>
        <v>0</v>
      </c>
      <c r="O125" s="50">
        <f t="shared" ref="O125:R125" si="34">O78+O123</f>
        <v>0</v>
      </c>
      <c r="P125" s="50">
        <f t="shared" si="34"/>
        <v>0</v>
      </c>
      <c r="Q125" s="50">
        <f t="shared" si="34"/>
        <v>0</v>
      </c>
      <c r="R125" s="50">
        <f t="shared" si="34"/>
        <v>0</v>
      </c>
    </row>
  </sheetData>
  <mergeCells count="48">
    <mergeCell ref="N96:O96"/>
    <mergeCell ref="P96:Q96"/>
    <mergeCell ref="R96:R97"/>
    <mergeCell ref="N117:O117"/>
    <mergeCell ref="P117:Q117"/>
    <mergeCell ref="R117:R118"/>
    <mergeCell ref="N103:O103"/>
    <mergeCell ref="P103:Q103"/>
    <mergeCell ref="R103:R104"/>
    <mergeCell ref="N110:O110"/>
    <mergeCell ref="P110:Q110"/>
    <mergeCell ref="R110:R111"/>
    <mergeCell ref="N82:O82"/>
    <mergeCell ref="P82:Q82"/>
    <mergeCell ref="R82:R83"/>
    <mergeCell ref="N89:O89"/>
    <mergeCell ref="P89:Q89"/>
    <mergeCell ref="R89:R90"/>
    <mergeCell ref="N65:O65"/>
    <mergeCell ref="P65:Q65"/>
    <mergeCell ref="R65:R66"/>
    <mergeCell ref="N72:O72"/>
    <mergeCell ref="P72:Q72"/>
    <mergeCell ref="R72:R73"/>
    <mergeCell ref="N51:O51"/>
    <mergeCell ref="P51:Q51"/>
    <mergeCell ref="R51:R52"/>
    <mergeCell ref="N58:O58"/>
    <mergeCell ref="P58:Q58"/>
    <mergeCell ref="R58:R59"/>
    <mergeCell ref="N37:O37"/>
    <mergeCell ref="P37:Q37"/>
    <mergeCell ref="R37:R38"/>
    <mergeCell ref="N44:O44"/>
    <mergeCell ref="P44:Q44"/>
    <mergeCell ref="R44:R45"/>
    <mergeCell ref="N20:O20"/>
    <mergeCell ref="P20:Q20"/>
    <mergeCell ref="R20:R21"/>
    <mergeCell ref="N30:O30"/>
    <mergeCell ref="P30:Q30"/>
    <mergeCell ref="R30:R31"/>
    <mergeCell ref="N6:O6"/>
    <mergeCell ref="P6:Q6"/>
    <mergeCell ref="R6:R7"/>
    <mergeCell ref="N13:O13"/>
    <mergeCell ref="P13:Q13"/>
    <mergeCell ref="R13:R14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GobalER2"/>
  <dimension ref="A1:R80"/>
  <sheetViews>
    <sheetView showGridLines="0" topLeftCell="M1" workbookViewId="0">
      <selection activeCell="O15" sqref="O15"/>
    </sheetView>
  </sheetViews>
  <sheetFormatPr defaultRowHeight="15" x14ac:dyDescent="0.25"/>
  <cols>
    <col min="1" max="12" width="9.140625" hidden="1" customWidth="1"/>
    <col min="13" max="18" width="22.7109375" customWidth="1"/>
  </cols>
  <sheetData>
    <row r="1" spans="13:18" ht="24" thickBot="1" x14ac:dyDescent="0.4">
      <c r="M1" s="39" t="s">
        <v>35</v>
      </c>
      <c r="N1" s="40"/>
      <c r="O1" s="40"/>
      <c r="P1" s="40"/>
      <c r="Q1" s="40"/>
      <c r="R1" s="40"/>
    </row>
    <row r="2" spans="13:18" ht="15.75" x14ac:dyDescent="0.25">
      <c r="M2" s="41" t="s">
        <v>38</v>
      </c>
      <c r="N2" s="42"/>
      <c r="O2" s="42"/>
      <c r="P2" s="43"/>
      <c r="Q2" s="43"/>
      <c r="R2" s="43"/>
    </row>
    <row r="3" spans="13:18" x14ac:dyDescent="0.25">
      <c r="M3" s="43"/>
      <c r="N3" s="43"/>
      <c r="O3" s="43"/>
      <c r="P3" s="43"/>
      <c r="Q3" s="43"/>
      <c r="R3" s="43"/>
    </row>
    <row r="4" spans="13:18" ht="15.75" x14ac:dyDescent="0.25">
      <c r="M4" s="41" t="s">
        <v>130</v>
      </c>
      <c r="N4" s="43"/>
      <c r="O4" s="43"/>
      <c r="P4" s="43"/>
      <c r="Q4" s="43"/>
      <c r="R4" s="43"/>
    </row>
    <row r="5" spans="13:18" x14ac:dyDescent="0.25">
      <c r="M5" s="44" t="s">
        <v>37</v>
      </c>
      <c r="N5" s="43"/>
      <c r="O5" s="43"/>
      <c r="P5" s="43"/>
      <c r="Q5" s="43"/>
      <c r="R5" s="43">
        <f>A6</f>
        <v>0</v>
      </c>
    </row>
    <row r="6" spans="13:18" x14ac:dyDescent="0.25">
      <c r="M6" s="45"/>
      <c r="N6" s="81" t="s">
        <v>30</v>
      </c>
      <c r="O6" s="81"/>
      <c r="P6" s="81" t="s">
        <v>31</v>
      </c>
      <c r="Q6" s="81"/>
      <c r="R6" s="82" t="s">
        <v>32</v>
      </c>
    </row>
    <row r="7" spans="13:18" x14ac:dyDescent="0.25">
      <c r="M7" s="45" t="s">
        <v>39</v>
      </c>
      <c r="N7" s="45" t="s">
        <v>40</v>
      </c>
      <c r="O7" s="45" t="s">
        <v>41</v>
      </c>
      <c r="P7" s="45" t="s">
        <v>40</v>
      </c>
      <c r="Q7" s="45" t="s">
        <v>41</v>
      </c>
      <c r="R7" s="83"/>
    </row>
    <row r="8" spans="13:18" x14ac:dyDescent="0.25">
      <c r="M8" s="46">
        <f>$N$2</f>
        <v>0</v>
      </c>
      <c r="N8" s="47">
        <f>B6</f>
        <v>0</v>
      </c>
      <c r="O8" s="47">
        <f>C6</f>
        <v>0</v>
      </c>
      <c r="P8" s="47">
        <f>D6</f>
        <v>0</v>
      </c>
      <c r="Q8" s="47">
        <f>E6</f>
        <v>0</v>
      </c>
      <c r="R8" s="47">
        <f>F6</f>
        <v>0</v>
      </c>
    </row>
    <row r="9" spans="13:18" x14ac:dyDescent="0.25">
      <c r="M9" s="46">
        <f>$O$2</f>
        <v>0</v>
      </c>
      <c r="N9" s="47">
        <f>H6</f>
        <v>0</v>
      </c>
      <c r="O9" s="47">
        <f>I6</f>
        <v>0</v>
      </c>
      <c r="P9" s="47">
        <f>J6</f>
        <v>0</v>
      </c>
      <c r="Q9" s="47">
        <f>K6</f>
        <v>0</v>
      </c>
      <c r="R9" s="47">
        <f>L6</f>
        <v>0</v>
      </c>
    </row>
    <row r="10" spans="13:18" x14ac:dyDescent="0.25">
      <c r="M10" s="45" t="s">
        <v>42</v>
      </c>
      <c r="N10" s="48">
        <f>N9-N8</f>
        <v>0</v>
      </c>
      <c r="O10" s="48">
        <f>O9-O8</f>
        <v>0</v>
      </c>
      <c r="P10" s="48">
        <f>P9-P8</f>
        <v>0</v>
      </c>
      <c r="Q10" s="48">
        <f>Q9-Q8</f>
        <v>0</v>
      </c>
      <c r="R10" s="48">
        <f>R9-R8</f>
        <v>0</v>
      </c>
    </row>
    <row r="11" spans="13:18" x14ac:dyDescent="0.25">
      <c r="M11" s="43"/>
      <c r="N11" s="43"/>
      <c r="O11" s="43"/>
      <c r="P11" s="43"/>
      <c r="Q11" s="43"/>
      <c r="R11" s="43"/>
    </row>
    <row r="12" spans="13:18" x14ac:dyDescent="0.25">
      <c r="M12" s="44" t="s">
        <v>48</v>
      </c>
      <c r="N12" s="43"/>
      <c r="O12" s="43"/>
      <c r="P12" s="43"/>
      <c r="Q12" s="43"/>
      <c r="R12" s="43">
        <f>A7</f>
        <v>0</v>
      </c>
    </row>
    <row r="13" spans="13:18" x14ac:dyDescent="0.25">
      <c r="M13" s="45"/>
      <c r="N13" s="81" t="s">
        <v>30</v>
      </c>
      <c r="O13" s="81"/>
      <c r="P13" s="81" t="s">
        <v>31</v>
      </c>
      <c r="Q13" s="81"/>
      <c r="R13" s="82" t="s">
        <v>32</v>
      </c>
    </row>
    <row r="14" spans="13:18" x14ac:dyDescent="0.25">
      <c r="M14" s="45" t="s">
        <v>39</v>
      </c>
      <c r="N14" s="45" t="s">
        <v>40</v>
      </c>
      <c r="O14" s="45" t="s">
        <v>41</v>
      </c>
      <c r="P14" s="45" t="s">
        <v>40</v>
      </c>
      <c r="Q14" s="45" t="s">
        <v>41</v>
      </c>
      <c r="R14" s="83"/>
    </row>
    <row r="15" spans="13:18" x14ac:dyDescent="0.25">
      <c r="M15" s="46">
        <f>$N$2</f>
        <v>0</v>
      </c>
      <c r="N15" s="47">
        <f>B7</f>
        <v>0</v>
      </c>
      <c r="O15" s="47">
        <f>C7</f>
        <v>0</v>
      </c>
      <c r="P15" s="47">
        <f>D7</f>
        <v>0</v>
      </c>
      <c r="Q15" s="47">
        <f>E7</f>
        <v>0</v>
      </c>
      <c r="R15" s="47">
        <f>F7</f>
        <v>0</v>
      </c>
    </row>
    <row r="16" spans="13:18" x14ac:dyDescent="0.25">
      <c r="M16" s="46">
        <f>$O$2</f>
        <v>0</v>
      </c>
      <c r="N16" s="47">
        <f>H7</f>
        <v>0</v>
      </c>
      <c r="O16" s="47">
        <f>I7</f>
        <v>0</v>
      </c>
      <c r="P16" s="47">
        <f>J7</f>
        <v>0</v>
      </c>
      <c r="Q16" s="47">
        <f>K7</f>
        <v>0</v>
      </c>
      <c r="R16" s="47">
        <f>L7</f>
        <v>0</v>
      </c>
    </row>
    <row r="17" spans="13:18" x14ac:dyDescent="0.25">
      <c r="M17" s="45" t="s">
        <v>42</v>
      </c>
      <c r="N17" s="48">
        <f>N16-N15</f>
        <v>0</v>
      </c>
      <c r="O17" s="48">
        <f>O16-O15</f>
        <v>0</v>
      </c>
      <c r="P17" s="48">
        <f>P16-P15</f>
        <v>0</v>
      </c>
      <c r="Q17" s="48">
        <f>Q16-Q15</f>
        <v>0</v>
      </c>
      <c r="R17" s="48">
        <f>R16-R15</f>
        <v>0</v>
      </c>
    </row>
    <row r="18" spans="13:18" x14ac:dyDescent="0.25">
      <c r="M18" s="43"/>
      <c r="N18" s="43"/>
      <c r="O18" s="43"/>
      <c r="P18" s="43"/>
      <c r="Q18" s="43"/>
      <c r="R18" s="43"/>
    </row>
    <row r="19" spans="13:18" x14ac:dyDescent="0.25">
      <c r="M19" s="44" t="s">
        <v>49</v>
      </c>
      <c r="N19" s="43"/>
      <c r="O19" s="43"/>
      <c r="P19" s="43"/>
      <c r="Q19" s="43"/>
      <c r="R19" s="43">
        <f>A8</f>
        <v>0</v>
      </c>
    </row>
    <row r="20" spans="13:18" x14ac:dyDescent="0.25">
      <c r="M20" s="45"/>
      <c r="N20" s="81" t="s">
        <v>30</v>
      </c>
      <c r="O20" s="81"/>
      <c r="P20" s="81" t="s">
        <v>31</v>
      </c>
      <c r="Q20" s="81"/>
      <c r="R20" s="82" t="s">
        <v>32</v>
      </c>
    </row>
    <row r="21" spans="13:18" x14ac:dyDescent="0.25">
      <c r="M21" s="45" t="s">
        <v>39</v>
      </c>
      <c r="N21" s="45" t="s">
        <v>40</v>
      </c>
      <c r="O21" s="45" t="s">
        <v>41</v>
      </c>
      <c r="P21" s="45" t="s">
        <v>40</v>
      </c>
      <c r="Q21" s="45" t="s">
        <v>41</v>
      </c>
      <c r="R21" s="83"/>
    </row>
    <row r="22" spans="13:18" x14ac:dyDescent="0.25">
      <c r="M22" s="46">
        <f>$N$2</f>
        <v>0</v>
      </c>
      <c r="N22" s="47">
        <f>B8</f>
        <v>0</v>
      </c>
      <c r="O22" s="47">
        <f>C8</f>
        <v>0</v>
      </c>
      <c r="P22" s="47">
        <f>D8</f>
        <v>0</v>
      </c>
      <c r="Q22" s="47">
        <f>E8</f>
        <v>0</v>
      </c>
      <c r="R22" s="47">
        <f>F8</f>
        <v>0</v>
      </c>
    </row>
    <row r="23" spans="13:18" x14ac:dyDescent="0.25">
      <c r="M23" s="46">
        <f>$O$2</f>
        <v>0</v>
      </c>
      <c r="N23" s="47">
        <f>H8</f>
        <v>0</v>
      </c>
      <c r="O23" s="47">
        <f>I8</f>
        <v>0</v>
      </c>
      <c r="P23" s="47">
        <f>J8</f>
        <v>0</v>
      </c>
      <c r="Q23" s="47">
        <f>K8</f>
        <v>0</v>
      </c>
      <c r="R23" s="47">
        <f>L8</f>
        <v>0</v>
      </c>
    </row>
    <row r="24" spans="13:18" x14ac:dyDescent="0.25">
      <c r="M24" s="45" t="s">
        <v>42</v>
      </c>
      <c r="N24" s="48">
        <f>N23-N22</f>
        <v>0</v>
      </c>
      <c r="O24" s="48">
        <f>O23-O22</f>
        <v>0</v>
      </c>
      <c r="P24" s="48">
        <f>P23-P22</f>
        <v>0</v>
      </c>
      <c r="Q24" s="48">
        <f>Q23-Q22</f>
        <v>0</v>
      </c>
      <c r="R24" s="48">
        <f>R23-R22</f>
        <v>0</v>
      </c>
    </row>
    <row r="25" spans="13:18" ht="15.75" thickBot="1" x14ac:dyDescent="0.3">
      <c r="M25" s="43"/>
      <c r="N25" s="43"/>
      <c r="O25" s="43"/>
      <c r="P25" s="43"/>
      <c r="Q25" s="43"/>
      <c r="R25" s="43"/>
    </row>
    <row r="26" spans="13:18" ht="15.75" thickBot="1" x14ac:dyDescent="0.3">
      <c r="M26" s="49" t="s">
        <v>131</v>
      </c>
      <c r="N26" s="50">
        <f>N10+N17+N24</f>
        <v>0</v>
      </c>
      <c r="O26" s="50">
        <f>O10+O17+O24</f>
        <v>0</v>
      </c>
      <c r="P26" s="50">
        <f>P10+P17+P24</f>
        <v>0</v>
      </c>
      <c r="Q26" s="50">
        <f>Q10+Q17+Q24</f>
        <v>0</v>
      </c>
      <c r="R26" s="50">
        <f>R10+R17+R24</f>
        <v>0</v>
      </c>
    </row>
    <row r="27" spans="13:18" x14ac:dyDescent="0.25">
      <c r="M27" s="43"/>
      <c r="N27" s="43"/>
      <c r="O27" s="43"/>
      <c r="P27" s="43"/>
      <c r="Q27" s="43"/>
      <c r="R27" s="43"/>
    </row>
    <row r="28" spans="13:18" ht="15.75" x14ac:dyDescent="0.25">
      <c r="M28" s="41" t="s">
        <v>132</v>
      </c>
      <c r="N28" s="43"/>
      <c r="O28" s="43"/>
      <c r="P28" s="43"/>
      <c r="Q28" s="43"/>
      <c r="R28" s="43"/>
    </row>
    <row r="29" spans="13:18" x14ac:dyDescent="0.25">
      <c r="M29" s="44" t="s">
        <v>37</v>
      </c>
      <c r="N29" s="43"/>
      <c r="O29" s="43"/>
      <c r="P29" s="43"/>
      <c r="Q29" s="43"/>
      <c r="R29" s="43">
        <f>A9</f>
        <v>0</v>
      </c>
    </row>
    <row r="30" spans="13:18" x14ac:dyDescent="0.25">
      <c r="M30" s="45"/>
      <c r="N30" s="81" t="s">
        <v>30</v>
      </c>
      <c r="O30" s="81"/>
      <c r="P30" s="81" t="s">
        <v>31</v>
      </c>
      <c r="Q30" s="81"/>
      <c r="R30" s="82" t="s">
        <v>32</v>
      </c>
    </row>
    <row r="31" spans="13:18" x14ac:dyDescent="0.25">
      <c r="M31" s="45" t="s">
        <v>39</v>
      </c>
      <c r="N31" s="45" t="s">
        <v>40</v>
      </c>
      <c r="O31" s="45" t="s">
        <v>41</v>
      </c>
      <c r="P31" s="45" t="s">
        <v>40</v>
      </c>
      <c r="Q31" s="45" t="s">
        <v>41</v>
      </c>
      <c r="R31" s="83"/>
    </row>
    <row r="32" spans="13:18" x14ac:dyDescent="0.25">
      <c r="M32" s="46">
        <f>$N$2</f>
        <v>0</v>
      </c>
      <c r="N32" s="47">
        <f>B9/1000</f>
        <v>0</v>
      </c>
      <c r="O32" s="47">
        <f t="shared" ref="O32:R32" si="0">C9/1000</f>
        <v>0</v>
      </c>
      <c r="P32" s="47">
        <f t="shared" si="0"/>
        <v>0</v>
      </c>
      <c r="Q32" s="47">
        <f t="shared" si="0"/>
        <v>0</v>
      </c>
      <c r="R32" s="47">
        <f t="shared" si="0"/>
        <v>0</v>
      </c>
    </row>
    <row r="33" spans="13:18" x14ac:dyDescent="0.25">
      <c r="M33" s="46">
        <f>$O$2</f>
        <v>0</v>
      </c>
      <c r="N33" s="47">
        <f>H9/1000</f>
        <v>0</v>
      </c>
      <c r="O33" s="47">
        <f t="shared" ref="O33:R33" si="1">I9/1000</f>
        <v>0</v>
      </c>
      <c r="P33" s="47">
        <f t="shared" si="1"/>
        <v>0</v>
      </c>
      <c r="Q33" s="47">
        <f t="shared" si="1"/>
        <v>0</v>
      </c>
      <c r="R33" s="47">
        <f t="shared" si="1"/>
        <v>0</v>
      </c>
    </row>
    <row r="34" spans="13:18" x14ac:dyDescent="0.25">
      <c r="M34" s="45" t="s">
        <v>42</v>
      </c>
      <c r="N34" s="48">
        <f>N33-N32</f>
        <v>0</v>
      </c>
      <c r="O34" s="48">
        <f>O33-O32</f>
        <v>0</v>
      </c>
      <c r="P34" s="48">
        <f>P33-P32</f>
        <v>0</v>
      </c>
      <c r="Q34" s="48">
        <f>Q33-Q32</f>
        <v>0</v>
      </c>
      <c r="R34" s="48">
        <f>R33-R32</f>
        <v>0</v>
      </c>
    </row>
    <row r="35" spans="13:18" x14ac:dyDescent="0.25">
      <c r="M35" s="43"/>
      <c r="N35" s="43"/>
      <c r="O35" s="43"/>
      <c r="P35" s="43"/>
      <c r="Q35" s="43"/>
      <c r="R35" s="43"/>
    </row>
    <row r="36" spans="13:18" x14ac:dyDescent="0.25">
      <c r="M36" s="44" t="s">
        <v>48</v>
      </c>
      <c r="N36" s="43"/>
      <c r="O36" s="43"/>
      <c r="P36" s="43"/>
      <c r="Q36" s="43"/>
      <c r="R36" s="43">
        <f>A10</f>
        <v>0</v>
      </c>
    </row>
    <row r="37" spans="13:18" x14ac:dyDescent="0.25">
      <c r="M37" s="45"/>
      <c r="N37" s="81" t="s">
        <v>30</v>
      </c>
      <c r="O37" s="81"/>
      <c r="P37" s="81" t="s">
        <v>31</v>
      </c>
      <c r="Q37" s="81"/>
      <c r="R37" s="82" t="s">
        <v>32</v>
      </c>
    </row>
    <row r="38" spans="13:18" x14ac:dyDescent="0.25">
      <c r="M38" s="45" t="s">
        <v>39</v>
      </c>
      <c r="N38" s="45" t="s">
        <v>40</v>
      </c>
      <c r="O38" s="45" t="s">
        <v>41</v>
      </c>
      <c r="P38" s="45" t="s">
        <v>40</v>
      </c>
      <c r="Q38" s="45" t="s">
        <v>41</v>
      </c>
      <c r="R38" s="83"/>
    </row>
    <row r="39" spans="13:18" x14ac:dyDescent="0.25">
      <c r="M39" s="46">
        <f>$N$2</f>
        <v>0</v>
      </c>
      <c r="N39" s="47">
        <f>B10/1000</f>
        <v>0</v>
      </c>
      <c r="O39" s="47">
        <f t="shared" ref="O39:R39" si="2">C10/1000</f>
        <v>0</v>
      </c>
      <c r="P39" s="47">
        <f t="shared" si="2"/>
        <v>0</v>
      </c>
      <c r="Q39" s="47">
        <f t="shared" si="2"/>
        <v>0</v>
      </c>
      <c r="R39" s="47">
        <f t="shared" si="2"/>
        <v>0</v>
      </c>
    </row>
    <row r="40" spans="13:18" x14ac:dyDescent="0.25">
      <c r="M40" s="46">
        <f>$O$2</f>
        <v>0</v>
      </c>
      <c r="N40" s="47">
        <f>H10/1000</f>
        <v>0</v>
      </c>
      <c r="O40" s="47">
        <f t="shared" ref="O40:R40" si="3">I10/1000</f>
        <v>0</v>
      </c>
      <c r="P40" s="47">
        <f t="shared" si="3"/>
        <v>0</v>
      </c>
      <c r="Q40" s="47">
        <f t="shared" si="3"/>
        <v>0</v>
      </c>
      <c r="R40" s="47">
        <f t="shared" si="3"/>
        <v>0</v>
      </c>
    </row>
    <row r="41" spans="13:18" x14ac:dyDescent="0.25">
      <c r="M41" s="45" t="s">
        <v>42</v>
      </c>
      <c r="N41" s="48">
        <f>N40-N39</f>
        <v>0</v>
      </c>
      <c r="O41" s="48">
        <f>O40-O39</f>
        <v>0</v>
      </c>
      <c r="P41" s="48">
        <f>P40-P39</f>
        <v>0</v>
      </c>
      <c r="Q41" s="48">
        <f>Q40-Q39</f>
        <v>0</v>
      </c>
      <c r="R41" s="48">
        <f>R40-R39</f>
        <v>0</v>
      </c>
    </row>
    <row r="42" spans="13:18" ht="15.75" thickBot="1" x14ac:dyDescent="0.3">
      <c r="M42" s="43"/>
      <c r="N42" s="43"/>
      <c r="O42" s="43"/>
      <c r="P42" s="43"/>
      <c r="Q42" s="43"/>
      <c r="R42" s="43"/>
    </row>
    <row r="43" spans="13:18" ht="15.75" thickBot="1" x14ac:dyDescent="0.3">
      <c r="M43" s="49" t="s">
        <v>133</v>
      </c>
      <c r="N43" s="50">
        <f>N34+N41</f>
        <v>0</v>
      </c>
      <c r="O43" s="50">
        <f t="shared" ref="O43:R43" si="4">O34+O41</f>
        <v>0</v>
      </c>
      <c r="P43" s="50">
        <f t="shared" si="4"/>
        <v>0</v>
      </c>
      <c r="Q43" s="50">
        <f t="shared" si="4"/>
        <v>0</v>
      </c>
      <c r="R43" s="50">
        <f t="shared" si="4"/>
        <v>0</v>
      </c>
    </row>
    <row r="44" spans="13:18" ht="15.75" thickBot="1" x14ac:dyDescent="0.3">
      <c r="M44" s="71"/>
      <c r="N44" s="72"/>
      <c r="O44" s="72"/>
      <c r="P44" s="72"/>
      <c r="Q44" s="72"/>
      <c r="R44" s="72"/>
    </row>
    <row r="45" spans="13:18" ht="15.75" thickBot="1" x14ac:dyDescent="0.3">
      <c r="M45" s="49" t="s">
        <v>134</v>
      </c>
      <c r="N45" s="50">
        <f>N26+N43</f>
        <v>0</v>
      </c>
      <c r="O45" s="50">
        <f t="shared" ref="O45:R45" si="5">O26+O43</f>
        <v>0</v>
      </c>
      <c r="P45" s="50">
        <f t="shared" si="5"/>
        <v>0</v>
      </c>
      <c r="Q45" s="50">
        <f t="shared" si="5"/>
        <v>0</v>
      </c>
      <c r="R45" s="50">
        <f t="shared" si="5"/>
        <v>0</v>
      </c>
    </row>
    <row r="46" spans="13:18" x14ac:dyDescent="0.25">
      <c r="M46" s="43"/>
      <c r="N46" s="43"/>
      <c r="O46" s="43"/>
      <c r="P46" s="43"/>
      <c r="Q46" s="43"/>
      <c r="R46" s="43"/>
    </row>
    <row r="47" spans="13:18" ht="15.75" x14ac:dyDescent="0.25">
      <c r="M47" s="41" t="s">
        <v>135</v>
      </c>
      <c r="N47" s="43"/>
      <c r="O47" s="43"/>
      <c r="P47" s="43"/>
      <c r="Q47" s="43"/>
      <c r="R47" s="43"/>
    </row>
    <row r="48" spans="13:18" x14ac:dyDescent="0.25">
      <c r="M48" s="44" t="s">
        <v>37</v>
      </c>
      <c r="N48" s="43"/>
      <c r="O48" s="43"/>
      <c r="P48" s="43"/>
      <c r="Q48" s="43"/>
      <c r="R48" s="43">
        <f>A11</f>
        <v>0</v>
      </c>
    </row>
    <row r="49" spans="13:18" x14ac:dyDescent="0.25">
      <c r="M49" s="45"/>
      <c r="N49" s="81" t="s">
        <v>30</v>
      </c>
      <c r="O49" s="81"/>
      <c r="P49" s="81" t="s">
        <v>31</v>
      </c>
      <c r="Q49" s="81"/>
      <c r="R49" s="82" t="s">
        <v>32</v>
      </c>
    </row>
    <row r="50" spans="13:18" x14ac:dyDescent="0.25">
      <c r="M50" s="45" t="s">
        <v>39</v>
      </c>
      <c r="N50" s="45" t="s">
        <v>40</v>
      </c>
      <c r="O50" s="45" t="s">
        <v>41</v>
      </c>
      <c r="P50" s="45" t="s">
        <v>40</v>
      </c>
      <c r="Q50" s="45" t="s">
        <v>41</v>
      </c>
      <c r="R50" s="83"/>
    </row>
    <row r="51" spans="13:18" x14ac:dyDescent="0.25">
      <c r="M51" s="46">
        <f>$N$2</f>
        <v>0</v>
      </c>
      <c r="N51" s="47">
        <f>B11/1000</f>
        <v>0</v>
      </c>
      <c r="O51" s="47">
        <f t="shared" ref="O51:R51" si="6">C11/1000</f>
        <v>0</v>
      </c>
      <c r="P51" s="47">
        <f t="shared" si="6"/>
        <v>0</v>
      </c>
      <c r="Q51" s="47">
        <f t="shared" si="6"/>
        <v>0</v>
      </c>
      <c r="R51" s="47">
        <f t="shared" si="6"/>
        <v>0</v>
      </c>
    </row>
    <row r="52" spans="13:18" x14ac:dyDescent="0.25">
      <c r="M52" s="46">
        <f>$O$2</f>
        <v>0</v>
      </c>
      <c r="N52" s="47">
        <f>H11/1000</f>
        <v>0</v>
      </c>
      <c r="O52" s="47">
        <f t="shared" ref="O52:R52" si="7">I11/1000</f>
        <v>0</v>
      </c>
      <c r="P52" s="47">
        <f t="shared" si="7"/>
        <v>0</v>
      </c>
      <c r="Q52" s="47">
        <f t="shared" si="7"/>
        <v>0</v>
      </c>
      <c r="R52" s="47">
        <f t="shared" si="7"/>
        <v>0</v>
      </c>
    </row>
    <row r="53" spans="13:18" x14ac:dyDescent="0.25">
      <c r="M53" s="45" t="s">
        <v>42</v>
      </c>
      <c r="N53" s="48">
        <f>N52-N51</f>
        <v>0</v>
      </c>
      <c r="O53" s="48">
        <f>O52-O51</f>
        <v>0</v>
      </c>
      <c r="P53" s="48">
        <f>P52-P51</f>
        <v>0</v>
      </c>
      <c r="Q53" s="48">
        <f>Q52-Q51</f>
        <v>0</v>
      </c>
      <c r="R53" s="48">
        <f>R52-R51</f>
        <v>0</v>
      </c>
    </row>
    <row r="54" spans="13:18" ht="15.75" thickBot="1" x14ac:dyDescent="0.3">
      <c r="M54" s="73"/>
      <c r="N54" s="74"/>
      <c r="O54" s="74"/>
      <c r="P54" s="74"/>
      <c r="Q54" s="74"/>
      <c r="R54" s="74"/>
    </row>
    <row r="55" spans="13:18" ht="15.75" thickBot="1" x14ac:dyDescent="0.3">
      <c r="M55" s="49" t="s">
        <v>136</v>
      </c>
      <c r="N55" s="50">
        <f>N53</f>
        <v>0</v>
      </c>
      <c r="O55" s="50">
        <f t="shared" ref="O55:R55" si="8">O53</f>
        <v>0</v>
      </c>
      <c r="P55" s="50">
        <f t="shared" si="8"/>
        <v>0</v>
      </c>
      <c r="Q55" s="50">
        <f t="shared" si="8"/>
        <v>0</v>
      </c>
      <c r="R55" s="50">
        <f t="shared" si="8"/>
        <v>0</v>
      </c>
    </row>
    <row r="56" spans="13:18" x14ac:dyDescent="0.25">
      <c r="M56" s="71"/>
      <c r="N56" s="72"/>
      <c r="O56" s="72"/>
      <c r="P56" s="72"/>
      <c r="Q56" s="72"/>
      <c r="R56" s="72"/>
    </row>
    <row r="57" spans="13:18" ht="15.75" x14ac:dyDescent="0.25">
      <c r="M57" s="41" t="s">
        <v>137</v>
      </c>
      <c r="N57" s="43"/>
      <c r="O57" s="43"/>
      <c r="P57" s="43"/>
      <c r="Q57" s="43"/>
      <c r="R57" s="43"/>
    </row>
    <row r="58" spans="13:18" x14ac:dyDescent="0.25">
      <c r="M58" s="44" t="s">
        <v>37</v>
      </c>
      <c r="N58" s="43"/>
      <c r="O58" s="43"/>
      <c r="P58" s="43"/>
      <c r="Q58" s="43"/>
      <c r="R58" s="43">
        <f>A12</f>
        <v>0</v>
      </c>
    </row>
    <row r="59" spans="13:18" x14ac:dyDescent="0.25">
      <c r="M59" s="45"/>
      <c r="N59" s="81" t="s">
        <v>30</v>
      </c>
      <c r="O59" s="81"/>
      <c r="P59" s="81" t="s">
        <v>31</v>
      </c>
      <c r="Q59" s="81"/>
      <c r="R59" s="82" t="s">
        <v>32</v>
      </c>
    </row>
    <row r="60" spans="13:18" x14ac:dyDescent="0.25">
      <c r="M60" s="45" t="s">
        <v>39</v>
      </c>
      <c r="N60" s="45" t="s">
        <v>40</v>
      </c>
      <c r="O60" s="45" t="s">
        <v>41</v>
      </c>
      <c r="P60" s="45" t="s">
        <v>40</v>
      </c>
      <c r="Q60" s="45" t="s">
        <v>41</v>
      </c>
      <c r="R60" s="83"/>
    </row>
    <row r="61" spans="13:18" x14ac:dyDescent="0.25">
      <c r="M61" s="46">
        <f>$N$2</f>
        <v>0</v>
      </c>
      <c r="N61" s="47">
        <f>B12/1000</f>
        <v>0</v>
      </c>
      <c r="O61" s="47">
        <f t="shared" ref="O61:R61" si="9">C12/1000</f>
        <v>0</v>
      </c>
      <c r="P61" s="47">
        <f t="shared" si="9"/>
        <v>0</v>
      </c>
      <c r="Q61" s="47">
        <f t="shared" si="9"/>
        <v>0</v>
      </c>
      <c r="R61" s="47">
        <f t="shared" si="9"/>
        <v>0</v>
      </c>
    </row>
    <row r="62" spans="13:18" x14ac:dyDescent="0.25">
      <c r="M62" s="46">
        <f>$O$2</f>
        <v>0</v>
      </c>
      <c r="N62" s="47">
        <f>H12/1000</f>
        <v>0</v>
      </c>
      <c r="O62" s="47">
        <f t="shared" ref="O62:R62" si="10">I12/1000</f>
        <v>0</v>
      </c>
      <c r="P62" s="47">
        <f t="shared" si="10"/>
        <v>0</v>
      </c>
      <c r="Q62" s="47">
        <f t="shared" si="10"/>
        <v>0</v>
      </c>
      <c r="R62" s="47">
        <f t="shared" si="10"/>
        <v>0</v>
      </c>
    </row>
    <row r="63" spans="13:18" x14ac:dyDescent="0.25">
      <c r="M63" s="45" t="s">
        <v>42</v>
      </c>
      <c r="N63" s="48">
        <f>N62-N61</f>
        <v>0</v>
      </c>
      <c r="O63" s="48">
        <f>O62-O61</f>
        <v>0</v>
      </c>
      <c r="P63" s="48">
        <f>P62-P61</f>
        <v>0</v>
      </c>
      <c r="Q63" s="48">
        <f>Q62-Q61</f>
        <v>0</v>
      </c>
      <c r="R63" s="48">
        <f>R62-R61</f>
        <v>0</v>
      </c>
    </row>
    <row r="64" spans="13:18" x14ac:dyDescent="0.25">
      <c r="M64" s="43"/>
      <c r="N64" s="43"/>
      <c r="O64" s="43"/>
      <c r="P64" s="43"/>
      <c r="Q64" s="43"/>
      <c r="R64" s="43"/>
    </row>
    <row r="65" spans="13:18" x14ac:dyDescent="0.25">
      <c r="M65" s="44" t="s">
        <v>48</v>
      </c>
      <c r="N65" s="43"/>
      <c r="O65" s="43"/>
      <c r="P65" s="43"/>
      <c r="Q65" s="43"/>
      <c r="R65" s="43">
        <f>A13</f>
        <v>0</v>
      </c>
    </row>
    <row r="66" spans="13:18" x14ac:dyDescent="0.25">
      <c r="M66" s="45"/>
      <c r="N66" s="81" t="s">
        <v>30</v>
      </c>
      <c r="O66" s="81"/>
      <c r="P66" s="81" t="s">
        <v>31</v>
      </c>
      <c r="Q66" s="81"/>
      <c r="R66" s="82" t="s">
        <v>32</v>
      </c>
    </row>
    <row r="67" spans="13:18" x14ac:dyDescent="0.25">
      <c r="M67" s="45" t="s">
        <v>39</v>
      </c>
      <c r="N67" s="45" t="s">
        <v>40</v>
      </c>
      <c r="O67" s="45" t="s">
        <v>41</v>
      </c>
      <c r="P67" s="45" t="s">
        <v>40</v>
      </c>
      <c r="Q67" s="45" t="s">
        <v>41</v>
      </c>
      <c r="R67" s="83"/>
    </row>
    <row r="68" spans="13:18" x14ac:dyDescent="0.25">
      <c r="M68" s="46">
        <f>$N$2</f>
        <v>0</v>
      </c>
      <c r="N68" s="47">
        <f>B13/1000</f>
        <v>0</v>
      </c>
      <c r="O68" s="47">
        <f t="shared" ref="O68:R68" si="11">C13/1000</f>
        <v>0</v>
      </c>
      <c r="P68" s="47">
        <f t="shared" si="11"/>
        <v>0</v>
      </c>
      <c r="Q68" s="47">
        <f t="shared" si="11"/>
        <v>0</v>
      </c>
      <c r="R68" s="47">
        <f t="shared" si="11"/>
        <v>0</v>
      </c>
    </row>
    <row r="69" spans="13:18" x14ac:dyDescent="0.25">
      <c r="M69" s="46">
        <f>$O$2</f>
        <v>0</v>
      </c>
      <c r="N69" s="47">
        <f>H13/1000</f>
        <v>0</v>
      </c>
      <c r="O69" s="47">
        <f t="shared" ref="O69:R69" si="12">I13/1000</f>
        <v>0</v>
      </c>
      <c r="P69" s="47">
        <f t="shared" si="12"/>
        <v>0</v>
      </c>
      <c r="Q69" s="47">
        <f t="shared" si="12"/>
        <v>0</v>
      </c>
      <c r="R69" s="47">
        <f t="shared" si="12"/>
        <v>0</v>
      </c>
    </row>
    <row r="70" spans="13:18" x14ac:dyDescent="0.25">
      <c r="M70" s="45" t="s">
        <v>42</v>
      </c>
      <c r="N70" s="48">
        <f>N69-N68</f>
        <v>0</v>
      </c>
      <c r="O70" s="48">
        <f>O69-O68</f>
        <v>0</v>
      </c>
      <c r="P70" s="48">
        <f>P69-P68</f>
        <v>0</v>
      </c>
      <c r="Q70" s="48">
        <f>Q69-Q68</f>
        <v>0</v>
      </c>
      <c r="R70" s="48">
        <f>R69-R68</f>
        <v>0</v>
      </c>
    </row>
    <row r="71" spans="13:18" x14ac:dyDescent="0.25">
      <c r="M71" s="43"/>
      <c r="N71" s="43"/>
      <c r="O71" s="43"/>
      <c r="P71" s="43"/>
      <c r="Q71" s="43"/>
      <c r="R71" s="43"/>
    </row>
    <row r="72" spans="13:18" x14ac:dyDescent="0.25">
      <c r="M72" s="44" t="s">
        <v>49</v>
      </c>
      <c r="N72" s="43"/>
      <c r="O72" s="43"/>
      <c r="P72" s="43"/>
      <c r="Q72" s="43"/>
      <c r="R72" s="43">
        <f>A14</f>
        <v>0</v>
      </c>
    </row>
    <row r="73" spans="13:18" x14ac:dyDescent="0.25">
      <c r="M73" s="45"/>
      <c r="N73" s="81" t="s">
        <v>30</v>
      </c>
      <c r="O73" s="81"/>
      <c r="P73" s="81" t="s">
        <v>31</v>
      </c>
      <c r="Q73" s="81"/>
      <c r="R73" s="82" t="s">
        <v>32</v>
      </c>
    </row>
    <row r="74" spans="13:18" x14ac:dyDescent="0.25">
      <c r="M74" s="45" t="s">
        <v>39</v>
      </c>
      <c r="N74" s="45" t="s">
        <v>40</v>
      </c>
      <c r="O74" s="45" t="s">
        <v>41</v>
      </c>
      <c r="P74" s="45" t="s">
        <v>40</v>
      </c>
      <c r="Q74" s="45" t="s">
        <v>41</v>
      </c>
      <c r="R74" s="83"/>
    </row>
    <row r="75" spans="13:18" x14ac:dyDescent="0.25">
      <c r="M75" s="46">
        <f>$N$2</f>
        <v>0</v>
      </c>
      <c r="N75" s="47">
        <f>B14/1000</f>
        <v>0</v>
      </c>
      <c r="O75" s="47">
        <f t="shared" ref="O75:R75" si="13">C14/1000</f>
        <v>0</v>
      </c>
      <c r="P75" s="47">
        <f t="shared" si="13"/>
        <v>0</v>
      </c>
      <c r="Q75" s="47">
        <f t="shared" si="13"/>
        <v>0</v>
      </c>
      <c r="R75" s="47">
        <f t="shared" si="13"/>
        <v>0</v>
      </c>
    </row>
    <row r="76" spans="13:18" x14ac:dyDescent="0.25">
      <c r="M76" s="46">
        <f>$O$2</f>
        <v>0</v>
      </c>
      <c r="N76" s="47">
        <f>H14/1000</f>
        <v>0</v>
      </c>
      <c r="O76" s="47">
        <f t="shared" ref="O76:R76" si="14">I14/1000</f>
        <v>0</v>
      </c>
      <c r="P76" s="47">
        <f t="shared" si="14"/>
        <v>0</v>
      </c>
      <c r="Q76" s="47">
        <f t="shared" si="14"/>
        <v>0</v>
      </c>
      <c r="R76" s="47">
        <f t="shared" si="14"/>
        <v>0</v>
      </c>
    </row>
    <row r="77" spans="13:18" x14ac:dyDescent="0.25">
      <c r="M77" s="45" t="s">
        <v>42</v>
      </c>
      <c r="N77" s="48">
        <f>N76-N75</f>
        <v>0</v>
      </c>
      <c r="O77" s="48">
        <f>O76-O75</f>
        <v>0</v>
      </c>
      <c r="P77" s="48">
        <f>P76-P75</f>
        <v>0</v>
      </c>
      <c r="Q77" s="48">
        <f>Q76-Q75</f>
        <v>0</v>
      </c>
      <c r="R77" s="48">
        <f>R76-R75</f>
        <v>0</v>
      </c>
    </row>
    <row r="78" spans="13:18" ht="15.75" thickBot="1" x14ac:dyDescent="0.3">
      <c r="M78" s="43"/>
      <c r="N78" s="43"/>
      <c r="O78" s="43"/>
      <c r="P78" s="43"/>
      <c r="Q78" s="43"/>
      <c r="R78" s="43"/>
    </row>
    <row r="79" spans="13:18" ht="15.75" thickBot="1" x14ac:dyDescent="0.3">
      <c r="M79" s="49" t="s">
        <v>138</v>
      </c>
      <c r="N79" s="50">
        <f>N63+N70+N77</f>
        <v>0</v>
      </c>
      <c r="O79" s="50">
        <f t="shared" ref="O79:Q79" si="15">O63+O70+O77</f>
        <v>0</v>
      </c>
      <c r="P79" s="50">
        <f t="shared" si="15"/>
        <v>0</v>
      </c>
      <c r="Q79" s="50">
        <f t="shared" si="15"/>
        <v>0</v>
      </c>
      <c r="R79" s="50">
        <f>R63+R70+R77</f>
        <v>0</v>
      </c>
    </row>
    <row r="80" spans="13:18" x14ac:dyDescent="0.25">
      <c r="M80" s="43"/>
      <c r="N80" s="43"/>
      <c r="O80" s="43"/>
      <c r="P80" s="43"/>
      <c r="Q80" s="43"/>
      <c r="R80" s="43"/>
    </row>
  </sheetData>
  <mergeCells count="27">
    <mergeCell ref="N73:O73"/>
    <mergeCell ref="P73:Q73"/>
    <mergeCell ref="R73:R74"/>
    <mergeCell ref="N59:O59"/>
    <mergeCell ref="P59:Q59"/>
    <mergeCell ref="R59:R60"/>
    <mergeCell ref="N66:O66"/>
    <mergeCell ref="P66:Q66"/>
    <mergeCell ref="R66:R67"/>
    <mergeCell ref="N49:O49"/>
    <mergeCell ref="P49:Q49"/>
    <mergeCell ref="R49:R50"/>
    <mergeCell ref="N37:O37"/>
    <mergeCell ref="P37:Q37"/>
    <mergeCell ref="R37:R38"/>
    <mergeCell ref="N20:O20"/>
    <mergeCell ref="P20:Q20"/>
    <mergeCell ref="R20:R21"/>
    <mergeCell ref="N30:O30"/>
    <mergeCell ref="P30:Q30"/>
    <mergeCell ref="R30:R31"/>
    <mergeCell ref="N6:O6"/>
    <mergeCell ref="P6:Q6"/>
    <mergeCell ref="R6:R7"/>
    <mergeCell ref="N13:O13"/>
    <mergeCell ref="P13:Q13"/>
    <mergeCell ref="R13:R14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GobalER3"/>
  <dimension ref="A1:R57"/>
  <sheetViews>
    <sheetView showGridLines="0" topLeftCell="M1" workbookViewId="0">
      <selection activeCell="N16" sqref="N16"/>
    </sheetView>
  </sheetViews>
  <sheetFormatPr defaultRowHeight="15" x14ac:dyDescent="0.25"/>
  <cols>
    <col min="1" max="12" width="9.140625" hidden="1" customWidth="1"/>
    <col min="13" max="18" width="22.7109375" customWidth="1"/>
  </cols>
  <sheetData>
    <row r="1" spans="13:18" ht="24" thickBot="1" x14ac:dyDescent="0.4">
      <c r="M1" s="39" t="s">
        <v>35</v>
      </c>
      <c r="N1" s="40"/>
      <c r="O1" s="40"/>
      <c r="P1" s="40"/>
      <c r="Q1" s="40"/>
      <c r="R1" s="40"/>
    </row>
    <row r="2" spans="13:18" ht="15.75" x14ac:dyDescent="0.25">
      <c r="M2" s="41" t="s">
        <v>38</v>
      </c>
      <c r="N2" s="42"/>
      <c r="O2" s="42"/>
      <c r="P2" s="43"/>
      <c r="Q2" s="43"/>
      <c r="R2" s="43"/>
    </row>
    <row r="3" spans="13:18" x14ac:dyDescent="0.25">
      <c r="M3" s="43"/>
      <c r="N3" s="43"/>
      <c r="O3" s="43"/>
      <c r="P3" s="43"/>
      <c r="Q3" s="43"/>
      <c r="R3" s="43"/>
    </row>
    <row r="4" spans="13:18" ht="15.75" x14ac:dyDescent="0.25">
      <c r="M4" s="41" t="s">
        <v>139</v>
      </c>
      <c r="N4" s="43"/>
      <c r="O4" s="43"/>
      <c r="P4" s="43"/>
      <c r="Q4" s="43"/>
      <c r="R4" s="43"/>
    </row>
    <row r="5" spans="13:18" x14ac:dyDescent="0.25">
      <c r="M5" s="44" t="s">
        <v>37</v>
      </c>
      <c r="N5" s="43"/>
      <c r="O5" s="43"/>
      <c r="P5" s="43"/>
      <c r="Q5" s="43"/>
      <c r="R5" s="43">
        <f>A6</f>
        <v>0</v>
      </c>
    </row>
    <row r="6" spans="13:18" x14ac:dyDescent="0.25">
      <c r="M6" s="45"/>
      <c r="N6" s="81" t="s">
        <v>30</v>
      </c>
      <c r="O6" s="81"/>
      <c r="P6" s="81" t="s">
        <v>31</v>
      </c>
      <c r="Q6" s="81"/>
      <c r="R6" s="82" t="s">
        <v>32</v>
      </c>
    </row>
    <row r="7" spans="13:18" x14ac:dyDescent="0.25">
      <c r="M7" s="45" t="s">
        <v>39</v>
      </c>
      <c r="N7" s="45" t="s">
        <v>40</v>
      </c>
      <c r="O7" s="45" t="s">
        <v>41</v>
      </c>
      <c r="P7" s="45" t="s">
        <v>40</v>
      </c>
      <c r="Q7" s="45" t="s">
        <v>41</v>
      </c>
      <c r="R7" s="83"/>
    </row>
    <row r="8" spans="13:18" x14ac:dyDescent="0.25">
      <c r="M8" s="46">
        <f>$N$2</f>
        <v>0</v>
      </c>
      <c r="N8" s="47">
        <f>B6/1000</f>
        <v>0</v>
      </c>
      <c r="O8" s="47">
        <f t="shared" ref="O8:R8" si="0">C6/1000</f>
        <v>0</v>
      </c>
      <c r="P8" s="47">
        <f t="shared" si="0"/>
        <v>0</v>
      </c>
      <c r="Q8" s="47">
        <f t="shared" si="0"/>
        <v>0</v>
      </c>
      <c r="R8" s="47">
        <f t="shared" si="0"/>
        <v>0</v>
      </c>
    </row>
    <row r="9" spans="13:18" x14ac:dyDescent="0.25">
      <c r="M9" s="46">
        <f>$O$2</f>
        <v>0</v>
      </c>
      <c r="N9" s="47">
        <f>H6/1000</f>
        <v>0</v>
      </c>
      <c r="O9" s="47">
        <f t="shared" ref="O9:R9" si="1">I6/1000</f>
        <v>0</v>
      </c>
      <c r="P9" s="47">
        <f t="shared" si="1"/>
        <v>0</v>
      </c>
      <c r="Q9" s="47">
        <f t="shared" si="1"/>
        <v>0</v>
      </c>
      <c r="R9" s="47">
        <f t="shared" si="1"/>
        <v>0</v>
      </c>
    </row>
    <row r="10" spans="13:18" x14ac:dyDescent="0.25">
      <c r="M10" s="45" t="s">
        <v>42</v>
      </c>
      <c r="N10" s="48">
        <f>N9-N8</f>
        <v>0</v>
      </c>
      <c r="O10" s="48">
        <f>O9-O8</f>
        <v>0</v>
      </c>
      <c r="P10" s="48">
        <f>P9-P8</f>
        <v>0</v>
      </c>
      <c r="Q10" s="48">
        <f>Q9-Q8</f>
        <v>0</v>
      </c>
      <c r="R10" s="48">
        <f>R9-R8</f>
        <v>0</v>
      </c>
    </row>
    <row r="11" spans="13:18" x14ac:dyDescent="0.25">
      <c r="M11" s="43"/>
      <c r="N11" s="43"/>
      <c r="O11" s="43"/>
      <c r="P11" s="43"/>
      <c r="Q11" s="43"/>
      <c r="R11" s="43"/>
    </row>
    <row r="12" spans="13:18" x14ac:dyDescent="0.25">
      <c r="M12" s="44" t="s">
        <v>48</v>
      </c>
      <c r="N12" s="43"/>
      <c r="O12" s="43"/>
      <c r="P12" s="43"/>
      <c r="Q12" s="43"/>
      <c r="R12" s="43">
        <f>A7</f>
        <v>0</v>
      </c>
    </row>
    <row r="13" spans="13:18" x14ac:dyDescent="0.25">
      <c r="M13" s="45"/>
      <c r="N13" s="81" t="s">
        <v>30</v>
      </c>
      <c r="O13" s="81"/>
      <c r="P13" s="81" t="s">
        <v>31</v>
      </c>
      <c r="Q13" s="81"/>
      <c r="R13" s="82" t="s">
        <v>32</v>
      </c>
    </row>
    <row r="14" spans="13:18" x14ac:dyDescent="0.25">
      <c r="M14" s="45" t="s">
        <v>39</v>
      </c>
      <c r="N14" s="45" t="s">
        <v>40</v>
      </c>
      <c r="O14" s="45" t="s">
        <v>41</v>
      </c>
      <c r="P14" s="45" t="s">
        <v>40</v>
      </c>
      <c r="Q14" s="45" t="s">
        <v>41</v>
      </c>
      <c r="R14" s="83"/>
    </row>
    <row r="15" spans="13:18" x14ac:dyDescent="0.25">
      <c r="M15" s="46">
        <f>$N$2</f>
        <v>0</v>
      </c>
      <c r="N15" s="47">
        <f>B7/1000</f>
        <v>0</v>
      </c>
      <c r="O15" s="47">
        <f t="shared" ref="O15:R15" si="2">C7/1000</f>
        <v>0</v>
      </c>
      <c r="P15" s="47">
        <f t="shared" si="2"/>
        <v>0</v>
      </c>
      <c r="Q15" s="47">
        <f t="shared" si="2"/>
        <v>0</v>
      </c>
      <c r="R15" s="47">
        <f t="shared" si="2"/>
        <v>0</v>
      </c>
    </row>
    <row r="16" spans="13:18" x14ac:dyDescent="0.25">
      <c r="M16" s="46">
        <f>$O$2</f>
        <v>0</v>
      </c>
      <c r="N16" s="47">
        <f>H7/1000</f>
        <v>0</v>
      </c>
      <c r="O16" s="47">
        <f t="shared" ref="O16:R16" si="3">I7/1000</f>
        <v>0</v>
      </c>
      <c r="P16" s="47">
        <f t="shared" si="3"/>
        <v>0</v>
      </c>
      <c r="Q16" s="47">
        <f t="shared" si="3"/>
        <v>0</v>
      </c>
      <c r="R16" s="47">
        <f t="shared" si="3"/>
        <v>0</v>
      </c>
    </row>
    <row r="17" spans="13:18" x14ac:dyDescent="0.25">
      <c r="M17" s="45" t="s">
        <v>42</v>
      </c>
      <c r="N17" s="48">
        <f>N16-N15</f>
        <v>0</v>
      </c>
      <c r="O17" s="48">
        <f>O16-O15</f>
        <v>0</v>
      </c>
      <c r="P17" s="48">
        <f>P16-P15</f>
        <v>0</v>
      </c>
      <c r="Q17" s="48">
        <f>Q16-Q15</f>
        <v>0</v>
      </c>
      <c r="R17" s="48">
        <f>R16-R15</f>
        <v>0</v>
      </c>
    </row>
    <row r="18" spans="13:18" ht="15.75" thickBot="1" x14ac:dyDescent="0.3">
      <c r="M18" s="43"/>
      <c r="N18" s="43"/>
      <c r="O18" s="43"/>
      <c r="P18" s="43"/>
      <c r="Q18" s="43"/>
      <c r="R18" s="43"/>
    </row>
    <row r="19" spans="13:18" ht="15.75" thickBot="1" x14ac:dyDescent="0.3">
      <c r="M19" s="49" t="s">
        <v>145</v>
      </c>
      <c r="N19" s="50">
        <f>N10+N17</f>
        <v>0</v>
      </c>
      <c r="O19" s="50">
        <f t="shared" ref="O19:R19" si="4">O10+O17</f>
        <v>0</v>
      </c>
      <c r="P19" s="50">
        <f t="shared" si="4"/>
        <v>0</v>
      </c>
      <c r="Q19" s="50">
        <f t="shared" si="4"/>
        <v>0</v>
      </c>
      <c r="R19" s="50">
        <f t="shared" si="4"/>
        <v>0</v>
      </c>
    </row>
    <row r="20" spans="13:18" x14ac:dyDescent="0.25">
      <c r="M20" s="43"/>
      <c r="N20" s="43"/>
      <c r="O20" s="43"/>
      <c r="P20" s="43"/>
      <c r="Q20" s="43"/>
      <c r="R20" s="43"/>
    </row>
    <row r="21" spans="13:18" ht="15.75" x14ac:dyDescent="0.25">
      <c r="M21" s="41" t="s">
        <v>140</v>
      </c>
      <c r="N21" s="43"/>
      <c r="O21" s="43"/>
      <c r="P21" s="43"/>
      <c r="Q21" s="43"/>
      <c r="R21" s="43"/>
    </row>
    <row r="22" spans="13:18" x14ac:dyDescent="0.25">
      <c r="M22" s="44" t="s">
        <v>37</v>
      </c>
      <c r="N22" s="43"/>
      <c r="O22" s="43"/>
      <c r="P22" s="43"/>
      <c r="Q22" s="43"/>
      <c r="R22" s="43">
        <f>A8</f>
        <v>0</v>
      </c>
    </row>
    <row r="23" spans="13:18" x14ac:dyDescent="0.25">
      <c r="M23" s="45"/>
      <c r="N23" s="81" t="s">
        <v>30</v>
      </c>
      <c r="O23" s="81"/>
      <c r="P23" s="81" t="s">
        <v>31</v>
      </c>
      <c r="Q23" s="81"/>
      <c r="R23" s="82" t="s">
        <v>32</v>
      </c>
    </row>
    <row r="24" spans="13:18" x14ac:dyDescent="0.25">
      <c r="M24" s="45" t="s">
        <v>39</v>
      </c>
      <c r="N24" s="45" t="s">
        <v>40</v>
      </c>
      <c r="O24" s="45" t="s">
        <v>41</v>
      </c>
      <c r="P24" s="45" t="s">
        <v>40</v>
      </c>
      <c r="Q24" s="45" t="s">
        <v>41</v>
      </c>
      <c r="R24" s="83"/>
    </row>
    <row r="25" spans="13:18" x14ac:dyDescent="0.25">
      <c r="M25" s="46">
        <f>$N$2</f>
        <v>0</v>
      </c>
      <c r="N25" s="47">
        <f>B8/1000</f>
        <v>0</v>
      </c>
      <c r="O25" s="47">
        <f t="shared" ref="O25:R25" si="5">C8/1000</f>
        <v>0</v>
      </c>
      <c r="P25" s="47">
        <f t="shared" si="5"/>
        <v>0</v>
      </c>
      <c r="Q25" s="47">
        <f t="shared" si="5"/>
        <v>0</v>
      </c>
      <c r="R25" s="47">
        <f t="shared" si="5"/>
        <v>0</v>
      </c>
    </row>
    <row r="26" spans="13:18" x14ac:dyDescent="0.25">
      <c r="M26" s="46">
        <f>$O$2</f>
        <v>0</v>
      </c>
      <c r="N26" s="47">
        <f>H8/1000</f>
        <v>0</v>
      </c>
      <c r="O26" s="47">
        <f t="shared" ref="O26:R26" si="6">I8/1000</f>
        <v>0</v>
      </c>
      <c r="P26" s="47">
        <f t="shared" si="6"/>
        <v>0</v>
      </c>
      <c r="Q26" s="47">
        <f t="shared" si="6"/>
        <v>0</v>
      </c>
      <c r="R26" s="47">
        <f t="shared" si="6"/>
        <v>0</v>
      </c>
    </row>
    <row r="27" spans="13:18" x14ac:dyDescent="0.25">
      <c r="M27" s="45" t="s">
        <v>42</v>
      </c>
      <c r="N27" s="48">
        <f>N26-N25</f>
        <v>0</v>
      </c>
      <c r="O27" s="48">
        <f>O26-O25</f>
        <v>0</v>
      </c>
      <c r="P27" s="48">
        <f>P26-P25</f>
        <v>0</v>
      </c>
      <c r="Q27" s="48">
        <f>Q26-Q25</f>
        <v>0</v>
      </c>
      <c r="R27" s="48">
        <f>R26-R25</f>
        <v>0</v>
      </c>
    </row>
    <row r="28" spans="13:18" ht="15.75" thickBot="1" x14ac:dyDescent="0.3">
      <c r="M28" s="73"/>
      <c r="N28" s="74"/>
      <c r="O28" s="74"/>
      <c r="P28" s="74"/>
      <c r="Q28" s="74"/>
      <c r="R28" s="74"/>
    </row>
    <row r="29" spans="13:18" ht="15.75" thickBot="1" x14ac:dyDescent="0.3">
      <c r="M29" s="49" t="s">
        <v>138</v>
      </c>
      <c r="N29" s="50">
        <f>N27</f>
        <v>0</v>
      </c>
      <c r="O29" s="50">
        <f t="shared" ref="O29:R29" si="7">O27</f>
        <v>0</v>
      </c>
      <c r="P29" s="50">
        <f t="shared" si="7"/>
        <v>0</v>
      </c>
      <c r="Q29" s="50">
        <f t="shared" si="7"/>
        <v>0</v>
      </c>
      <c r="R29" s="50">
        <f t="shared" si="7"/>
        <v>0</v>
      </c>
    </row>
    <row r="30" spans="13:18" x14ac:dyDescent="0.25">
      <c r="M30" s="43"/>
      <c r="N30" s="43"/>
      <c r="O30" s="43"/>
      <c r="P30" s="43"/>
      <c r="Q30" s="43"/>
      <c r="R30" s="43"/>
    </row>
    <row r="31" spans="13:18" ht="15.75" x14ac:dyDescent="0.25">
      <c r="M31" s="41" t="s">
        <v>142</v>
      </c>
      <c r="N31" s="43"/>
      <c r="O31" s="43"/>
      <c r="P31" s="43"/>
      <c r="Q31" s="43"/>
      <c r="R31" s="43"/>
    </row>
    <row r="32" spans="13:18" x14ac:dyDescent="0.25">
      <c r="M32" s="44" t="s">
        <v>141</v>
      </c>
      <c r="N32" s="43"/>
      <c r="O32" s="43"/>
      <c r="P32" s="43"/>
      <c r="Q32" s="43"/>
      <c r="R32" s="43">
        <f>A9</f>
        <v>0</v>
      </c>
    </row>
    <row r="33" spans="13:18" x14ac:dyDescent="0.25">
      <c r="M33" s="45"/>
      <c r="N33" s="81" t="s">
        <v>30</v>
      </c>
      <c r="O33" s="81"/>
      <c r="P33" s="81" t="s">
        <v>31</v>
      </c>
      <c r="Q33" s="81"/>
      <c r="R33" s="82" t="s">
        <v>32</v>
      </c>
    </row>
    <row r="34" spans="13:18" x14ac:dyDescent="0.25">
      <c r="M34" s="45" t="s">
        <v>39</v>
      </c>
      <c r="N34" s="45" t="s">
        <v>40</v>
      </c>
      <c r="O34" s="45" t="s">
        <v>41</v>
      </c>
      <c r="P34" s="45" t="s">
        <v>40</v>
      </c>
      <c r="Q34" s="45" t="s">
        <v>41</v>
      </c>
      <c r="R34" s="83"/>
    </row>
    <row r="35" spans="13:18" x14ac:dyDescent="0.25">
      <c r="M35" s="46">
        <f>$N$2</f>
        <v>0</v>
      </c>
      <c r="N35" s="47">
        <f>B9/1000</f>
        <v>0</v>
      </c>
      <c r="O35" s="47">
        <f t="shared" ref="O35:R35" si="8">C9/1000</f>
        <v>0</v>
      </c>
      <c r="P35" s="47">
        <f t="shared" si="8"/>
        <v>0</v>
      </c>
      <c r="Q35" s="47">
        <f t="shared" si="8"/>
        <v>0</v>
      </c>
      <c r="R35" s="47">
        <f t="shared" si="8"/>
        <v>0</v>
      </c>
    </row>
    <row r="36" spans="13:18" x14ac:dyDescent="0.25">
      <c r="M36" s="46">
        <f>$O$2</f>
        <v>0</v>
      </c>
      <c r="N36" s="47">
        <f>H9/1000</f>
        <v>0</v>
      </c>
      <c r="O36" s="47">
        <f t="shared" ref="O36:R36" si="9">I9/1000</f>
        <v>0</v>
      </c>
      <c r="P36" s="47">
        <f t="shared" si="9"/>
        <v>0</v>
      </c>
      <c r="Q36" s="47">
        <f t="shared" si="9"/>
        <v>0</v>
      </c>
      <c r="R36" s="47">
        <f t="shared" si="9"/>
        <v>0</v>
      </c>
    </row>
    <row r="37" spans="13:18" x14ac:dyDescent="0.25">
      <c r="M37" s="45" t="s">
        <v>42</v>
      </c>
      <c r="N37" s="48">
        <f>N36-N35</f>
        <v>0</v>
      </c>
      <c r="O37" s="48">
        <f>O36-O35</f>
        <v>0</v>
      </c>
      <c r="P37" s="48">
        <f>P36-P35</f>
        <v>0</v>
      </c>
      <c r="Q37" s="48">
        <f>Q36-Q35</f>
        <v>0</v>
      </c>
      <c r="R37" s="48">
        <f>R36-R35</f>
        <v>0</v>
      </c>
    </row>
    <row r="38" spans="13:18" x14ac:dyDescent="0.25">
      <c r="M38" s="43"/>
      <c r="N38" s="43"/>
      <c r="O38" s="43"/>
      <c r="P38" s="43"/>
      <c r="Q38" s="43"/>
      <c r="R38" s="43"/>
    </row>
    <row r="39" spans="13:18" x14ac:dyDescent="0.25">
      <c r="M39" s="44" t="s">
        <v>143</v>
      </c>
      <c r="N39" s="43"/>
      <c r="O39" s="43"/>
      <c r="P39" s="43"/>
      <c r="Q39" s="43"/>
      <c r="R39" s="43">
        <f>A10</f>
        <v>0</v>
      </c>
    </row>
    <row r="40" spans="13:18" x14ac:dyDescent="0.25">
      <c r="M40" s="45"/>
      <c r="N40" s="81" t="s">
        <v>30</v>
      </c>
      <c r="O40" s="81"/>
      <c r="P40" s="81" t="s">
        <v>31</v>
      </c>
      <c r="Q40" s="81"/>
      <c r="R40" s="82" t="s">
        <v>32</v>
      </c>
    </row>
    <row r="41" spans="13:18" x14ac:dyDescent="0.25">
      <c r="M41" s="45" t="s">
        <v>39</v>
      </c>
      <c r="N41" s="45" t="s">
        <v>40</v>
      </c>
      <c r="O41" s="45" t="s">
        <v>41</v>
      </c>
      <c r="P41" s="45" t="s">
        <v>40</v>
      </c>
      <c r="Q41" s="45" t="s">
        <v>41</v>
      </c>
      <c r="R41" s="83"/>
    </row>
    <row r="42" spans="13:18" x14ac:dyDescent="0.25">
      <c r="M42" s="46">
        <f>$N$2</f>
        <v>0</v>
      </c>
      <c r="N42" s="47">
        <f>B10/1000</f>
        <v>0</v>
      </c>
      <c r="O42" s="47">
        <f t="shared" ref="O42:R42" si="10">C10/1000</f>
        <v>0</v>
      </c>
      <c r="P42" s="47">
        <f t="shared" si="10"/>
        <v>0</v>
      </c>
      <c r="Q42" s="47">
        <f t="shared" si="10"/>
        <v>0</v>
      </c>
      <c r="R42" s="47">
        <f t="shared" si="10"/>
        <v>0</v>
      </c>
    </row>
    <row r="43" spans="13:18" x14ac:dyDescent="0.25">
      <c r="M43" s="46">
        <f>$O$2</f>
        <v>0</v>
      </c>
      <c r="N43" s="47">
        <f>H10/1000</f>
        <v>0</v>
      </c>
      <c r="O43" s="47">
        <f t="shared" ref="O43:R43" si="11">I10/1000</f>
        <v>0</v>
      </c>
      <c r="P43" s="47">
        <f t="shared" si="11"/>
        <v>0</v>
      </c>
      <c r="Q43" s="47">
        <f t="shared" si="11"/>
        <v>0</v>
      </c>
      <c r="R43" s="47">
        <f t="shared" si="11"/>
        <v>0</v>
      </c>
    </row>
    <row r="44" spans="13:18" x14ac:dyDescent="0.25">
      <c r="M44" s="45" t="s">
        <v>42</v>
      </c>
      <c r="N44" s="48">
        <f>N43-N42</f>
        <v>0</v>
      </c>
      <c r="O44" s="48">
        <f>O43-O42</f>
        <v>0</v>
      </c>
      <c r="P44" s="48">
        <f>P43-P42</f>
        <v>0</v>
      </c>
      <c r="Q44" s="48">
        <f>Q43-Q42</f>
        <v>0</v>
      </c>
      <c r="R44" s="48">
        <f>R43-R42</f>
        <v>0</v>
      </c>
    </row>
    <row r="45" spans="13:18" ht="15.75" thickBot="1" x14ac:dyDescent="0.3">
      <c r="M45" s="73"/>
      <c r="N45" s="74"/>
      <c r="O45" s="74"/>
      <c r="P45" s="74"/>
      <c r="Q45" s="74"/>
      <c r="R45" s="74"/>
    </row>
    <row r="46" spans="13:18" ht="15.75" thickBot="1" x14ac:dyDescent="0.3">
      <c r="M46" s="49" t="s">
        <v>138</v>
      </c>
      <c r="N46" s="50">
        <f>N37+N44</f>
        <v>0</v>
      </c>
      <c r="O46" s="50">
        <f t="shared" ref="O46:R46" si="12">O37+O44</f>
        <v>0</v>
      </c>
      <c r="P46" s="50">
        <f t="shared" si="12"/>
        <v>0</v>
      </c>
      <c r="Q46" s="50">
        <f t="shared" si="12"/>
        <v>0</v>
      </c>
      <c r="R46" s="50">
        <f t="shared" si="12"/>
        <v>0</v>
      </c>
    </row>
    <row r="47" spans="13:18" x14ac:dyDescent="0.25">
      <c r="M47" s="71"/>
      <c r="N47" s="72"/>
      <c r="O47" s="72"/>
      <c r="P47" s="72"/>
      <c r="Q47" s="72"/>
      <c r="R47" s="72"/>
    </row>
    <row r="48" spans="13:18" ht="15.75" x14ac:dyDescent="0.25">
      <c r="M48" s="41" t="s">
        <v>144</v>
      </c>
      <c r="N48" s="43"/>
      <c r="O48" s="43"/>
      <c r="P48" s="43"/>
      <c r="Q48" s="43"/>
      <c r="R48" s="43"/>
    </row>
    <row r="49" spans="13:18" x14ac:dyDescent="0.25">
      <c r="M49" s="44" t="s">
        <v>144</v>
      </c>
      <c r="N49" s="43"/>
      <c r="O49" s="43"/>
      <c r="P49" s="43"/>
      <c r="Q49" s="43"/>
      <c r="R49" s="43">
        <f>A11</f>
        <v>0</v>
      </c>
    </row>
    <row r="50" spans="13:18" x14ac:dyDescent="0.25">
      <c r="M50" s="45"/>
      <c r="N50" s="81" t="s">
        <v>30</v>
      </c>
      <c r="O50" s="81"/>
      <c r="P50" s="81" t="s">
        <v>31</v>
      </c>
      <c r="Q50" s="81"/>
      <c r="R50" s="82" t="s">
        <v>32</v>
      </c>
    </row>
    <row r="51" spans="13:18" x14ac:dyDescent="0.25">
      <c r="M51" s="45" t="s">
        <v>39</v>
      </c>
      <c r="N51" s="45" t="s">
        <v>40</v>
      </c>
      <c r="O51" s="45" t="s">
        <v>41</v>
      </c>
      <c r="P51" s="45" t="s">
        <v>40</v>
      </c>
      <c r="Q51" s="45" t="s">
        <v>41</v>
      </c>
      <c r="R51" s="83"/>
    </row>
    <row r="52" spans="13:18" x14ac:dyDescent="0.25">
      <c r="M52" s="46">
        <f>$N$2</f>
        <v>0</v>
      </c>
      <c r="N52" s="47">
        <f>B11/1000</f>
        <v>0</v>
      </c>
      <c r="O52" s="47">
        <f t="shared" ref="O52:R52" si="13">C11/1000</f>
        <v>0</v>
      </c>
      <c r="P52" s="47">
        <f t="shared" si="13"/>
        <v>0</v>
      </c>
      <c r="Q52" s="47">
        <f t="shared" si="13"/>
        <v>0</v>
      </c>
      <c r="R52" s="47">
        <f t="shared" si="13"/>
        <v>0</v>
      </c>
    </row>
    <row r="53" spans="13:18" x14ac:dyDescent="0.25">
      <c r="M53" s="46">
        <f>$O$2</f>
        <v>0</v>
      </c>
      <c r="N53" s="47">
        <f>H11/1000</f>
        <v>0</v>
      </c>
      <c r="O53" s="47">
        <f t="shared" ref="O53:R53" si="14">I11/1000</f>
        <v>0</v>
      </c>
      <c r="P53" s="47">
        <f t="shared" si="14"/>
        <v>0</v>
      </c>
      <c r="Q53" s="47">
        <f t="shared" si="14"/>
        <v>0</v>
      </c>
      <c r="R53" s="47">
        <f t="shared" si="14"/>
        <v>0</v>
      </c>
    </row>
    <row r="54" spans="13:18" x14ac:dyDescent="0.25">
      <c r="M54" s="45" t="s">
        <v>42</v>
      </c>
      <c r="N54" s="48">
        <f>N53-N52</f>
        <v>0</v>
      </c>
      <c r="O54" s="48">
        <f>O53-O52</f>
        <v>0</v>
      </c>
      <c r="P54" s="48">
        <f>P53-P52</f>
        <v>0</v>
      </c>
      <c r="Q54" s="48">
        <f>Q53-Q52</f>
        <v>0</v>
      </c>
      <c r="R54" s="48">
        <f>R53-R52</f>
        <v>0</v>
      </c>
    </row>
    <row r="55" spans="13:18" ht="15.75" thickBot="1" x14ac:dyDescent="0.3">
      <c r="M55" s="43"/>
      <c r="N55" s="43"/>
      <c r="O55" s="43"/>
      <c r="P55" s="43"/>
      <c r="Q55" s="43"/>
      <c r="R55" s="43"/>
    </row>
    <row r="56" spans="13:18" ht="15.75" thickBot="1" x14ac:dyDescent="0.3">
      <c r="M56" s="49" t="s">
        <v>138</v>
      </c>
      <c r="N56" s="50">
        <f>N54</f>
        <v>0</v>
      </c>
      <c r="O56" s="50">
        <f t="shared" ref="O56:R56" si="15">O54</f>
        <v>0</v>
      </c>
      <c r="P56" s="50">
        <f t="shared" si="15"/>
        <v>0</v>
      </c>
      <c r="Q56" s="50">
        <f t="shared" si="15"/>
        <v>0</v>
      </c>
      <c r="R56" s="50">
        <f t="shared" si="15"/>
        <v>0</v>
      </c>
    </row>
    <row r="57" spans="13:18" x14ac:dyDescent="0.25">
      <c r="M57" s="43"/>
      <c r="N57" s="43"/>
      <c r="O57" s="43"/>
      <c r="P57" s="43"/>
      <c r="Q57" s="43"/>
      <c r="R57" s="43"/>
    </row>
  </sheetData>
  <mergeCells count="18">
    <mergeCell ref="N23:O23"/>
    <mergeCell ref="P23:Q23"/>
    <mergeCell ref="R23:R24"/>
    <mergeCell ref="N6:O6"/>
    <mergeCell ref="P6:Q6"/>
    <mergeCell ref="R6:R7"/>
    <mergeCell ref="N13:O13"/>
    <mergeCell ref="P13:Q13"/>
    <mergeCell ref="R13:R14"/>
    <mergeCell ref="N50:O50"/>
    <mergeCell ref="P50:Q50"/>
    <mergeCell ref="R50:R51"/>
    <mergeCell ref="N33:O33"/>
    <mergeCell ref="P33:Q33"/>
    <mergeCell ref="R33:R34"/>
    <mergeCell ref="N40:O40"/>
    <mergeCell ref="P40:Q40"/>
    <mergeCell ref="R40:R41"/>
  </mergeCell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ualityStd">
    <pageSetUpPr fitToPage="1"/>
  </sheetPr>
  <dimension ref="A1:T14"/>
  <sheetViews>
    <sheetView topLeftCell="A9" zoomScale="115" zoomScaleNormal="115" zoomScaleSheetLayoutView="130" workbookViewId="0">
      <selection activeCell="D19" sqref="D19"/>
    </sheetView>
  </sheetViews>
  <sheetFormatPr defaultColWidth="11.42578125" defaultRowHeight="12.75" customHeight="1" x14ac:dyDescent="0.2"/>
  <cols>
    <col min="1" max="1" width="20.28515625" style="21" customWidth="1"/>
    <col min="2" max="20" width="16.7109375" style="21" customWidth="1"/>
    <col min="21" max="16384" width="11.42578125" style="21"/>
  </cols>
  <sheetData>
    <row r="1" spans="1:20" ht="12.75" hidden="1" customHeight="1" x14ac:dyDescent="0.2">
      <c r="A1" s="22" t="s">
        <v>24</v>
      </c>
    </row>
    <row r="2" spans="1:20" ht="12.75" hidden="1" customHeight="1" x14ac:dyDescent="0.2">
      <c r="A2" s="22" t="s">
        <v>25</v>
      </c>
    </row>
    <row r="3" spans="1:20" ht="12.75" hidden="1" customHeight="1" x14ac:dyDescent="0.2">
      <c r="A3" s="22"/>
    </row>
    <row r="4" spans="1:20" ht="12.75" hidden="1" customHeight="1" x14ac:dyDescent="0.2">
      <c r="A4" s="22"/>
    </row>
    <row r="5" spans="1:20" ht="12.75" hidden="1" customHeight="1" x14ac:dyDescent="0.2">
      <c r="A5" s="22"/>
    </row>
    <row r="6" spans="1:20" ht="12.75" hidden="1" customHeight="1" x14ac:dyDescent="0.2">
      <c r="A6" s="22"/>
    </row>
    <row r="7" spans="1:20" ht="12.75" hidden="1" customHeight="1" x14ac:dyDescent="0.2">
      <c r="A7" s="22"/>
    </row>
    <row r="8" spans="1:20" ht="12.75" hidden="1" customHeight="1" x14ac:dyDescent="0.2">
      <c r="A8" s="22"/>
    </row>
    <row r="9" spans="1:20" s="3" customFormat="1" ht="26.25" customHeight="1" x14ac:dyDescent="0.25">
      <c r="A9" s="1" t="s">
        <v>0</v>
      </c>
      <c r="B9" s="1" t="s">
        <v>23</v>
      </c>
      <c r="C9" s="2"/>
      <c r="D9" s="1" t="s">
        <v>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 s="5" customFormat="1" ht="11.25" customHeight="1" x14ac:dyDescent="0.2">
      <c r="A10" s="4"/>
      <c r="B10" s="84" t="s">
        <v>2</v>
      </c>
      <c r="C10" s="84" t="s">
        <v>3</v>
      </c>
      <c r="D10" s="84" t="s">
        <v>4</v>
      </c>
      <c r="E10" s="84" t="s">
        <v>5</v>
      </c>
      <c r="F10" s="84" t="s">
        <v>6</v>
      </c>
      <c r="G10" s="84" t="s">
        <v>7</v>
      </c>
      <c r="H10" s="84" t="s">
        <v>8</v>
      </c>
      <c r="I10" s="84" t="s">
        <v>9</v>
      </c>
      <c r="J10" s="84" t="s">
        <v>10</v>
      </c>
      <c r="K10" s="84" t="s">
        <v>11</v>
      </c>
      <c r="L10" s="84" t="s">
        <v>12</v>
      </c>
      <c r="M10" s="84" t="s">
        <v>13</v>
      </c>
      <c r="N10" s="84" t="s">
        <v>14</v>
      </c>
      <c r="O10" s="84" t="s">
        <v>15</v>
      </c>
      <c r="P10" s="84" t="s">
        <v>16</v>
      </c>
      <c r="Q10" s="84" t="s">
        <v>17</v>
      </c>
      <c r="R10" s="84" t="s">
        <v>18</v>
      </c>
      <c r="S10" s="84" t="s">
        <v>19</v>
      </c>
      <c r="T10" s="84" t="s">
        <v>20</v>
      </c>
    </row>
    <row r="11" spans="1:20" s="7" customFormat="1" ht="12" customHeight="1" x14ac:dyDescent="0.2">
      <c r="A11" s="8" t="str">
        <f>"Начало   " &amp; TEXT(B1,"ДД.ММ.ГГГГ чч:мм")</f>
        <v>Начало   00.01.1900 00:00</v>
      </c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</row>
    <row r="12" spans="1:20" s="9" customFormat="1" ht="12" customHeight="1" x14ac:dyDescent="0.2">
      <c r="A12" s="6" t="str">
        <f>"Конец     "&amp; TEXT(B2,"ДД.ММ.ГГГГ чч:мм")</f>
        <v>Конец     00.01.1900 00:00</v>
      </c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</row>
    <row r="13" spans="1:20" s="11" customFormat="1" ht="12" customHeight="1" x14ac:dyDescent="0.2">
      <c r="A13" s="10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</row>
    <row r="14" spans="1:20" s="11" customFormat="1" ht="12" customHeight="1" x14ac:dyDescent="0.2">
      <c r="A14" s="12"/>
      <c r="B14" s="13"/>
      <c r="C14" s="13"/>
      <c r="D14" s="13"/>
      <c r="E14" s="14"/>
      <c r="F14" s="15"/>
      <c r="G14" s="15"/>
      <c r="H14" s="15"/>
      <c r="I14" s="14"/>
      <c r="J14" s="16"/>
      <c r="K14" s="17"/>
      <c r="L14" s="18"/>
      <c r="M14" s="19"/>
      <c r="N14" s="20"/>
      <c r="O14" s="14"/>
      <c r="P14" s="14"/>
      <c r="Q14" s="14"/>
      <c r="R14" s="14"/>
      <c r="S14" s="14"/>
      <c r="T14" s="14"/>
    </row>
  </sheetData>
  <mergeCells count="19">
    <mergeCell ref="M10:M13"/>
    <mergeCell ref="B10:B13"/>
    <mergeCell ref="C10:C13"/>
    <mergeCell ref="D10:D13"/>
    <mergeCell ref="E10:E13"/>
    <mergeCell ref="F10:F13"/>
    <mergeCell ref="G10:G13"/>
    <mergeCell ref="H10:H13"/>
    <mergeCell ref="I10:I13"/>
    <mergeCell ref="J10:J13"/>
    <mergeCell ref="K10:K13"/>
    <mergeCell ref="L10:L13"/>
    <mergeCell ref="T10:T13"/>
    <mergeCell ref="N10:N13"/>
    <mergeCell ref="O10:O13"/>
    <mergeCell ref="P10:P13"/>
    <mergeCell ref="Q10:Q13"/>
    <mergeCell ref="R10:R13"/>
    <mergeCell ref="S10:S13"/>
  </mergeCells>
  <pageMargins left="0.39370078740157483" right="0.39370078740157483" top="0.4" bottom="0.78740157480314965" header="0.39370078740157483" footer="0.39370078740157483"/>
  <pageSetup paperSize="9" scale="39" orientation="landscape" r:id="rId1"/>
  <headerFooter alignWithMargins="0">
    <oddFooter>&amp;L&amp;8ETM Deutschland GmbH
PVSS Report 3.2&amp;R&amp;8&amp;A - &amp;P / &amp;N
Ausdruck vom &amp;D&amp;C&amp;8Суточный отчет
05.08.2013 8:00:00 bis 06.08.2013 7:59:59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1_Diag">
    <pageSetUpPr fitToPage="1"/>
  </sheetPr>
  <dimension ref="A1:K87"/>
  <sheetViews>
    <sheetView workbookViewId="0">
      <selection activeCell="B7" sqref="B7"/>
    </sheetView>
  </sheetViews>
  <sheetFormatPr defaultRowHeight="12.75" x14ac:dyDescent="0.2"/>
  <cols>
    <col min="1" max="1" width="6.42578125" style="55" customWidth="1"/>
    <col min="2" max="2" width="22.140625" style="55" customWidth="1"/>
    <col min="3" max="3" width="24.85546875" style="55" customWidth="1"/>
    <col min="4" max="4" width="16.5703125" style="55" customWidth="1"/>
    <col min="5" max="5" width="19" style="55" customWidth="1"/>
    <col min="6" max="16384" width="9.140625" style="55"/>
  </cols>
  <sheetData>
    <row r="1" spans="1:11" ht="18.75" thickBot="1" x14ac:dyDescent="0.3">
      <c r="A1" s="53" t="s">
        <v>90</v>
      </c>
      <c r="B1" s="54"/>
      <c r="C1" s="54"/>
      <c r="D1" s="54"/>
      <c r="E1" s="54"/>
      <c r="F1" s="54"/>
      <c r="G1" s="54"/>
      <c r="H1" s="54"/>
      <c r="I1" s="53"/>
      <c r="J1" s="54"/>
      <c r="K1" s="54"/>
    </row>
    <row r="3" spans="1:11" ht="15" x14ac:dyDescent="0.2">
      <c r="A3" s="56"/>
      <c r="B3" s="56"/>
      <c r="C3" s="56"/>
      <c r="D3" s="57"/>
    </row>
    <row r="4" spans="1:11" ht="15" x14ac:dyDescent="0.2">
      <c r="A4" s="56"/>
      <c r="B4" s="56"/>
      <c r="C4" s="56"/>
      <c r="D4" s="57"/>
    </row>
    <row r="5" spans="1:11" ht="18" x14ac:dyDescent="0.25">
      <c r="A5" s="56" t="s">
        <v>91</v>
      </c>
      <c r="B5" s="56"/>
      <c r="C5" s="58">
        <f>A1A3!B33</f>
        <v>0</v>
      </c>
      <c r="D5" s="56" t="s">
        <v>92</v>
      </c>
      <c r="E5" s="59">
        <f>A1A3!C33</f>
        <v>0</v>
      </c>
      <c r="F5" s="56" t="s">
        <v>93</v>
      </c>
      <c r="I5" s="60" t="s">
        <v>97</v>
      </c>
    </row>
    <row r="32" spans="1:9" ht="18" x14ac:dyDescent="0.25">
      <c r="A32" s="56" t="s">
        <v>91</v>
      </c>
      <c r="B32" s="56"/>
      <c r="C32" s="58">
        <f>A1A3!D33</f>
        <v>0</v>
      </c>
      <c r="D32" s="56" t="s">
        <v>92</v>
      </c>
      <c r="E32" s="58">
        <f>A1A3!E33</f>
        <v>0</v>
      </c>
      <c r="F32" s="56" t="s">
        <v>93</v>
      </c>
      <c r="I32" s="60" t="s">
        <v>96</v>
      </c>
    </row>
    <row r="60" spans="1:9" ht="18" x14ac:dyDescent="0.25">
      <c r="A60" s="56" t="s">
        <v>91</v>
      </c>
      <c r="B60" s="56"/>
      <c r="C60" s="58">
        <f>A1A3!F33</f>
        <v>0</v>
      </c>
      <c r="D60" s="56" t="s">
        <v>92</v>
      </c>
      <c r="E60" s="59">
        <f>A1A3!G33</f>
        <v>0</v>
      </c>
      <c r="F60" s="56" t="s">
        <v>93</v>
      </c>
      <c r="I60" s="60" t="s">
        <v>94</v>
      </c>
    </row>
    <row r="86" spans="1:9" ht="18" x14ac:dyDescent="0.25">
      <c r="A86" s="56"/>
      <c r="B86" s="56"/>
      <c r="C86" s="58"/>
      <c r="D86" s="56"/>
      <c r="E86" s="59"/>
      <c r="F86" s="56"/>
      <c r="I86" s="60"/>
    </row>
    <row r="87" spans="1:9" ht="18" x14ac:dyDescent="0.25">
      <c r="A87" s="56" t="s">
        <v>91</v>
      </c>
      <c r="B87" s="56"/>
      <c r="C87" s="58">
        <f>A1A3!F60</f>
        <v>0</v>
      </c>
      <c r="D87" s="56" t="s">
        <v>92</v>
      </c>
      <c r="E87" s="59">
        <f>A1A3!G60</f>
        <v>0</v>
      </c>
      <c r="F87" s="56" t="s">
        <v>93</v>
      </c>
      <c r="I87" s="60" t="s">
        <v>95</v>
      </c>
    </row>
  </sheetData>
  <pageMargins left="0.70866141732283472" right="0.70866141732283472" top="0.74803149606299213" bottom="0.74803149606299213" header="0.31496062992125984" footer="0.31496062992125984"/>
  <pageSetup paperSize="9" scale="93" orientation="landscape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2_Diag">
    <pageSetUpPr fitToPage="1"/>
  </sheetPr>
  <dimension ref="A1:K141"/>
  <sheetViews>
    <sheetView topLeftCell="A137" workbookViewId="0">
      <selection activeCell="B143" sqref="B143"/>
    </sheetView>
  </sheetViews>
  <sheetFormatPr defaultRowHeight="12.75" x14ac:dyDescent="0.2"/>
  <cols>
    <col min="1" max="1" width="6.42578125" style="55" customWidth="1"/>
    <col min="2" max="2" width="22.140625" style="55" customWidth="1"/>
    <col min="3" max="3" width="24.85546875" style="55" customWidth="1"/>
    <col min="4" max="4" width="16.5703125" style="55" customWidth="1"/>
    <col min="5" max="5" width="19" style="55" customWidth="1"/>
    <col min="6" max="16384" width="9.140625" style="55"/>
  </cols>
  <sheetData>
    <row r="1" spans="1:11" ht="18.75" thickBot="1" x14ac:dyDescent="0.3">
      <c r="A1" s="53" t="s">
        <v>90</v>
      </c>
      <c r="B1" s="54"/>
      <c r="C1" s="54"/>
      <c r="D1" s="54"/>
      <c r="E1" s="54"/>
      <c r="F1" s="54"/>
      <c r="G1" s="54"/>
      <c r="H1" s="54"/>
      <c r="I1" s="53"/>
      <c r="J1" s="54"/>
      <c r="K1" s="54"/>
    </row>
    <row r="3" spans="1:11" ht="15" x14ac:dyDescent="0.2">
      <c r="A3" s="56"/>
      <c r="B3" s="56"/>
      <c r="C3" s="56"/>
      <c r="D3" s="57"/>
    </row>
    <row r="4" spans="1:11" ht="15" x14ac:dyDescent="0.2">
      <c r="A4" s="56"/>
      <c r="B4" s="56"/>
      <c r="C4" s="56"/>
      <c r="D4" s="57"/>
    </row>
    <row r="5" spans="1:11" ht="18" x14ac:dyDescent="0.25">
      <c r="A5" s="56" t="s">
        <v>91</v>
      </c>
      <c r="B5" s="56"/>
      <c r="C5" s="58">
        <f>A1A3!B33</f>
        <v>0</v>
      </c>
      <c r="D5" s="56" t="s">
        <v>92</v>
      </c>
      <c r="E5" s="59">
        <f>A1A3!C33</f>
        <v>0</v>
      </c>
      <c r="F5" s="56" t="s">
        <v>93</v>
      </c>
      <c r="I5" s="60" t="s">
        <v>98</v>
      </c>
    </row>
    <row r="32" spans="1:9" ht="18" x14ac:dyDescent="0.25">
      <c r="A32" s="56" t="s">
        <v>91</v>
      </c>
      <c r="B32" s="56"/>
      <c r="C32" s="58">
        <f>A1A3!D33</f>
        <v>0</v>
      </c>
      <c r="D32" s="56" t="s">
        <v>92</v>
      </c>
      <c r="E32" s="58">
        <f>A1A3!E33</f>
        <v>0</v>
      </c>
      <c r="F32" s="56" t="s">
        <v>93</v>
      </c>
      <c r="I32" s="60" t="s">
        <v>99</v>
      </c>
    </row>
    <row r="60" spans="1:9" ht="18" x14ac:dyDescent="0.25">
      <c r="A60" s="56" t="s">
        <v>91</v>
      </c>
      <c r="B60" s="56"/>
      <c r="C60" s="58">
        <f>A1A3!F33</f>
        <v>0</v>
      </c>
      <c r="D60" s="56" t="s">
        <v>92</v>
      </c>
      <c r="E60" s="59">
        <f>A1A3!G33</f>
        <v>0</v>
      </c>
      <c r="F60" s="56" t="s">
        <v>93</v>
      </c>
      <c r="I60" s="60" t="s">
        <v>100</v>
      </c>
    </row>
    <row r="86" spans="1:9" ht="18" x14ac:dyDescent="0.25">
      <c r="A86" s="56"/>
      <c r="B86" s="56"/>
      <c r="C86" s="58"/>
      <c r="D86" s="56"/>
      <c r="E86" s="59"/>
      <c r="F86" s="56"/>
      <c r="I86" s="60"/>
    </row>
    <row r="87" spans="1:9" ht="18" x14ac:dyDescent="0.25">
      <c r="A87" s="56" t="s">
        <v>91</v>
      </c>
      <c r="B87" s="56"/>
      <c r="C87" s="58">
        <f>A1A3!F60</f>
        <v>0</v>
      </c>
      <c r="D87" s="56" t="s">
        <v>92</v>
      </c>
      <c r="E87" s="59">
        <f>A1A3!G60</f>
        <v>0</v>
      </c>
      <c r="F87" s="56" t="s">
        <v>93</v>
      </c>
      <c r="I87" s="60" t="s">
        <v>101</v>
      </c>
    </row>
    <row r="114" spans="1:9" ht="18" x14ac:dyDescent="0.25">
      <c r="A114" s="56" t="s">
        <v>91</v>
      </c>
      <c r="B114" s="56"/>
      <c r="C114" s="58">
        <f>A1A3!F87</f>
        <v>0</v>
      </c>
      <c r="D114" s="56" t="s">
        <v>92</v>
      </c>
      <c r="E114" s="59">
        <f>A1A3!G87</f>
        <v>0</v>
      </c>
      <c r="F114" s="56" t="s">
        <v>93</v>
      </c>
      <c r="I114" s="60" t="s">
        <v>102</v>
      </c>
    </row>
    <row r="141" spans="1:9" ht="18" x14ac:dyDescent="0.25">
      <c r="A141" s="56" t="s">
        <v>91</v>
      </c>
      <c r="B141" s="56"/>
      <c r="C141" s="58">
        <f>A1A3!F114</f>
        <v>0</v>
      </c>
      <c r="D141" s="56" t="s">
        <v>92</v>
      </c>
      <c r="E141" s="59">
        <f>A1A3!G114</f>
        <v>0</v>
      </c>
      <c r="F141" s="56" t="s">
        <v>93</v>
      </c>
      <c r="I141" s="60" t="s">
        <v>108</v>
      </c>
    </row>
  </sheetData>
  <pageMargins left="0.70866141732283472" right="0.70866141732283472" top="0.74803149606299213" bottom="0.74803149606299213" header="0.31496062992125984" footer="0.31496062992125984"/>
  <pageSetup paperSize="9" scale="93" orientation="landscape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3_Diag">
    <pageSetUpPr fitToPage="1"/>
  </sheetPr>
  <dimension ref="A1:K141"/>
  <sheetViews>
    <sheetView topLeftCell="A4" workbookViewId="0">
      <selection activeCell="B7" sqref="B7"/>
    </sheetView>
  </sheetViews>
  <sheetFormatPr defaultRowHeight="12.75" x14ac:dyDescent="0.2"/>
  <cols>
    <col min="1" max="1" width="6.42578125" style="55" customWidth="1"/>
    <col min="2" max="2" width="22.140625" style="55" customWidth="1"/>
    <col min="3" max="3" width="24.85546875" style="55" customWidth="1"/>
    <col min="4" max="4" width="16.5703125" style="55" customWidth="1"/>
    <col min="5" max="5" width="19" style="55" customWidth="1"/>
    <col min="6" max="16384" width="9.140625" style="55"/>
  </cols>
  <sheetData>
    <row r="1" spans="1:11" ht="18.75" thickBot="1" x14ac:dyDescent="0.3">
      <c r="A1" s="53" t="s">
        <v>90</v>
      </c>
      <c r="B1" s="54"/>
      <c r="C1" s="54"/>
      <c r="D1" s="54"/>
      <c r="E1" s="54"/>
      <c r="F1" s="54"/>
      <c r="G1" s="54"/>
      <c r="H1" s="54"/>
      <c r="I1" s="53"/>
      <c r="J1" s="54"/>
      <c r="K1" s="54"/>
    </row>
    <row r="3" spans="1:11" ht="15" x14ac:dyDescent="0.2">
      <c r="A3" s="56"/>
      <c r="B3" s="56"/>
      <c r="C3" s="56"/>
      <c r="D3" s="57"/>
    </row>
    <row r="4" spans="1:11" ht="15" x14ac:dyDescent="0.2">
      <c r="A4" s="56"/>
      <c r="B4" s="56"/>
      <c r="C4" s="56"/>
      <c r="D4" s="57"/>
    </row>
    <row r="5" spans="1:11" ht="18" x14ac:dyDescent="0.25">
      <c r="A5" s="56" t="s">
        <v>91</v>
      </c>
      <c r="B5" s="56"/>
      <c r="C5" s="58">
        <f>A1A3!B33</f>
        <v>0</v>
      </c>
      <c r="D5" s="56" t="s">
        <v>92</v>
      </c>
      <c r="E5" s="59">
        <f>A1A3!C33</f>
        <v>0</v>
      </c>
      <c r="F5" s="56" t="s">
        <v>93</v>
      </c>
      <c r="I5" s="60" t="s">
        <v>103</v>
      </c>
    </row>
    <row r="32" spans="1:9" ht="18" x14ac:dyDescent="0.25">
      <c r="A32" s="56" t="s">
        <v>91</v>
      </c>
      <c r="B32" s="56"/>
      <c r="C32" s="58">
        <f>A1A3!D33</f>
        <v>0</v>
      </c>
      <c r="D32" s="56" t="s">
        <v>92</v>
      </c>
      <c r="E32" s="58">
        <f>A1A3!E33</f>
        <v>0</v>
      </c>
      <c r="F32" s="56" t="s">
        <v>93</v>
      </c>
      <c r="I32" s="60" t="s">
        <v>104</v>
      </c>
    </row>
    <row r="60" spans="1:9" ht="18" x14ac:dyDescent="0.25">
      <c r="A60" s="56" t="s">
        <v>91</v>
      </c>
      <c r="B60" s="56"/>
      <c r="C60" s="58">
        <f>A1A3!F33</f>
        <v>0</v>
      </c>
      <c r="D60" s="56" t="s">
        <v>92</v>
      </c>
      <c r="E60" s="59">
        <f>A1A3!G33</f>
        <v>0</v>
      </c>
      <c r="F60" s="56" t="s">
        <v>93</v>
      </c>
      <c r="I60" s="60" t="s">
        <v>105</v>
      </c>
    </row>
    <row r="86" spans="1:9" ht="18" x14ac:dyDescent="0.25">
      <c r="A86" s="56"/>
      <c r="B86" s="56"/>
      <c r="C86" s="58"/>
      <c r="D86" s="56"/>
      <c r="E86" s="59"/>
      <c r="F86" s="56"/>
      <c r="I86" s="60"/>
    </row>
    <row r="87" spans="1:9" ht="18" x14ac:dyDescent="0.25">
      <c r="A87" s="56" t="s">
        <v>91</v>
      </c>
      <c r="B87" s="56"/>
      <c r="C87" s="58">
        <f>A1A3!F60</f>
        <v>0</v>
      </c>
      <c r="D87" s="56" t="s">
        <v>92</v>
      </c>
      <c r="E87" s="59">
        <f>A1A3!G60</f>
        <v>0</v>
      </c>
      <c r="F87" s="56" t="s">
        <v>93</v>
      </c>
      <c r="I87" s="60" t="s">
        <v>106</v>
      </c>
    </row>
    <row r="114" spans="1:9" ht="18" x14ac:dyDescent="0.25">
      <c r="A114" s="56" t="s">
        <v>91</v>
      </c>
      <c r="B114" s="56"/>
      <c r="C114" s="58">
        <f>A1A3!F87</f>
        <v>0</v>
      </c>
      <c r="D114" s="56" t="s">
        <v>92</v>
      </c>
      <c r="E114" s="59">
        <f>A1A3!G87</f>
        <v>0</v>
      </c>
      <c r="F114" s="56" t="s">
        <v>93</v>
      </c>
      <c r="I114" s="60" t="s">
        <v>107</v>
      </c>
    </row>
    <row r="141" spans="1:9" ht="18" x14ac:dyDescent="0.25">
      <c r="A141" s="56"/>
      <c r="B141" s="56"/>
      <c r="C141" s="58"/>
      <c r="D141" s="56"/>
      <c r="E141" s="59"/>
      <c r="F141" s="56"/>
      <c r="I141" s="60"/>
    </row>
  </sheetData>
  <pageMargins left="0.70866141732283472" right="0.70866141732283472" top="0.74803149606299213" bottom="0.74803149606299213" header="0.31496062992125984" footer="0.31496062992125984"/>
  <pageSetup paperSize="9" scale="93" orientation="landscape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QualityCharts"/>
  <dimension ref="A1:N11"/>
  <sheetViews>
    <sheetView topLeftCell="A9" zoomScaleNormal="100" zoomScaleSheetLayoutView="70" workbookViewId="0">
      <selection activeCell="B10" sqref="B10"/>
    </sheetView>
  </sheetViews>
  <sheetFormatPr defaultColWidth="8.85546875" defaultRowHeight="12.75" x14ac:dyDescent="0.2"/>
  <cols>
    <col min="1" max="16384" width="8.85546875" style="25"/>
  </cols>
  <sheetData>
    <row r="1" spans="1:14" hidden="1" x14ac:dyDescent="0.2">
      <c r="A1" s="25" t="s">
        <v>21</v>
      </c>
    </row>
    <row r="2" spans="1:14" hidden="1" x14ac:dyDescent="0.2">
      <c r="A2" s="25" t="s">
        <v>22</v>
      </c>
    </row>
    <row r="3" spans="1:14" hidden="1" x14ac:dyDescent="0.2"/>
    <row r="4" spans="1:14" hidden="1" x14ac:dyDescent="0.2"/>
    <row r="5" spans="1:14" hidden="1" x14ac:dyDescent="0.2"/>
    <row r="6" spans="1:14" hidden="1" x14ac:dyDescent="0.2"/>
    <row r="7" spans="1:14" hidden="1" x14ac:dyDescent="0.2"/>
    <row r="8" spans="1:14" hidden="1" x14ac:dyDescent="0.2"/>
    <row r="9" spans="1:14" ht="21" thickBot="1" x14ac:dyDescent="0.35">
      <c r="A9" s="23" t="s">
        <v>26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 t="s">
        <v>27</v>
      </c>
      <c r="M9" s="24"/>
      <c r="N9" s="24"/>
    </row>
    <row r="10" spans="1:14" ht="14.25" x14ac:dyDescent="0.2">
      <c r="A10" s="26" t="str">
        <f>"Начало " &amp; TEXT(B1,"ДД.ММ.ГГГГ чч:мм")</f>
        <v>Начало 00.01.1900 00:00</v>
      </c>
      <c r="B10" s="27"/>
      <c r="C10" s="28"/>
      <c r="D10" s="29"/>
    </row>
    <row r="11" spans="1:14" ht="14.25" x14ac:dyDescent="0.2">
      <c r="A11" s="30" t="str">
        <f>"Конец   "&amp; TEXT(B2,"ДД.ММ.ГГГГ чч:мм")</f>
        <v>Конец   00.01.1900 00:00</v>
      </c>
      <c r="B11" s="27"/>
      <c r="C11" s="28"/>
      <c r="D11" s="29"/>
    </row>
  </sheetData>
  <pageMargins left="0.70866141732283472" right="0.70866141732283472" top="0.74803149606299213" bottom="0.74803149606299213" header="0.31496062992125984" footer="0.31496062992125984"/>
  <pageSetup paperSize="9" scale="69" fitToHeight="100" orientation="portrait" r:id="rId1"/>
  <headerFooter>
    <oddFooter>&amp;LПепси Домодедово&amp;CСтраница &amp;P из &amp;N&amp;RSiemens Sentron Powermanager</oddFooter>
  </headerFooter>
  <rowBreaks count="3" manualBreakCount="3">
    <brk id="90" max="13" man="1"/>
    <brk id="170" max="13" man="1"/>
    <brk id="226" max="1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20</vt:i4>
      </vt:variant>
      <vt:variant>
        <vt:lpstr>Именованные диапазоны</vt:lpstr>
      </vt:variant>
      <vt:variant>
        <vt:i4>15</vt:i4>
      </vt:variant>
    </vt:vector>
  </HeadingPairs>
  <TitlesOfParts>
    <vt:vector size="35" baseType="lpstr">
      <vt:lpstr>A</vt:lpstr>
      <vt:lpstr>B</vt:lpstr>
      <vt:lpstr>C</vt:lpstr>
      <vt:lpstr>Счетчики Opr</vt:lpstr>
      <vt:lpstr>Лист1</vt:lpstr>
      <vt:lpstr>A1A3</vt:lpstr>
      <vt:lpstr>Q1</vt:lpstr>
      <vt:lpstr>Q2</vt:lpstr>
      <vt:lpstr>Q3</vt:lpstr>
      <vt:lpstr>A_Diag</vt:lpstr>
      <vt:lpstr>TabGlobalER</vt:lpstr>
      <vt:lpstr>TabGlobalER (2)</vt:lpstr>
      <vt:lpstr>TabGlobalLOS</vt:lpstr>
      <vt:lpstr>TabGlobalER2</vt:lpstr>
      <vt:lpstr>TabGlobalER3</vt:lpstr>
      <vt:lpstr>Качество Std</vt:lpstr>
      <vt:lpstr>Q1_Diag</vt:lpstr>
      <vt:lpstr>Q2_Diag</vt:lpstr>
      <vt:lpstr>Q3_Diag</vt:lpstr>
      <vt:lpstr>Качество Чарты</vt:lpstr>
      <vt:lpstr>A!Заголовки_для_печати</vt:lpstr>
      <vt:lpstr>B!Заголовки_для_печати</vt:lpstr>
      <vt:lpstr>'C'!Заголовки_для_печати</vt:lpstr>
      <vt:lpstr>'Качество Std'!Заголовки_для_печати</vt:lpstr>
      <vt:lpstr>'Счетчики Opr'!Заголовки_для_печати</vt:lpstr>
      <vt:lpstr>A!Область_печати</vt:lpstr>
      <vt:lpstr>A_Diag!Область_печати</vt:lpstr>
      <vt:lpstr>B!Область_печати</vt:lpstr>
      <vt:lpstr>'C'!Область_печати</vt:lpstr>
      <vt:lpstr>Q1_Diag!Область_печати</vt:lpstr>
      <vt:lpstr>Q2_Diag!Область_печати</vt:lpstr>
      <vt:lpstr>Q3_Diag!Область_печати</vt:lpstr>
      <vt:lpstr>'Качество Std'!Область_печати</vt:lpstr>
      <vt:lpstr>'Качество Чарты'!Область_печати</vt:lpstr>
      <vt:lpstr>'Счетчики Opr'!Область_печати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PepsiCO</cp:lastModifiedBy>
  <cp:lastPrinted>2017-03-29T08:28:25Z</cp:lastPrinted>
  <dcterms:created xsi:type="dcterms:W3CDTF">2017-02-27T04:55:03Z</dcterms:created>
  <dcterms:modified xsi:type="dcterms:W3CDTF">2019-01-09T09:45:17Z</dcterms:modified>
</cp:coreProperties>
</file>